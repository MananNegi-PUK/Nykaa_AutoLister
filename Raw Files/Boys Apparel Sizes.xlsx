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nn\Downloads\"/>
    </mc:Choice>
  </mc:AlternateContent>
  <xr:revisionPtr revIDLastSave="0" documentId="13_ncr:1_{2C0EEC33-D7BC-475E-A5FA-E37C53F52EFA}" xr6:coauthVersionLast="47" xr6:coauthVersionMax="47" xr10:uidLastSave="{00000000-0000-0000-0000-000000000000}"/>
  <bookViews>
    <workbookView xWindow="-120" yWindow="-120" windowWidth="20730" windowHeight="11760" xr2:uid="{66A50BE3-2503-4417-8C99-439A6E32E911}"/>
  </bookViews>
  <sheets>
    <sheet name="Boys Apparel Siz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4" i="1" l="1"/>
  <c r="J64" i="1" s="1"/>
  <c r="K64" i="1" s="1"/>
  <c r="L64" i="1" s="1"/>
  <c r="M64" i="1" s="1"/>
  <c r="C64" i="1"/>
  <c r="D64" i="1" s="1"/>
  <c r="E64" i="1" s="1"/>
  <c r="F63" i="1"/>
  <c r="G63" i="1" s="1"/>
  <c r="H63" i="1" s="1"/>
  <c r="I63" i="1" s="1"/>
  <c r="J63" i="1" s="1"/>
  <c r="K63" i="1" s="1"/>
  <c r="L63" i="1" s="1"/>
  <c r="M63" i="1" s="1"/>
  <c r="J62" i="1"/>
  <c r="K62" i="1" s="1"/>
  <c r="L62" i="1" s="1"/>
  <c r="M62" i="1" s="1"/>
  <c r="H62" i="1"/>
  <c r="G62" i="1" s="1"/>
  <c r="F62" i="1" s="1"/>
  <c r="E62" i="1" s="1"/>
  <c r="D62" i="1" s="1"/>
  <c r="C62" i="1" s="1"/>
  <c r="B62" i="1" s="1"/>
  <c r="J61" i="1"/>
  <c r="K61" i="1" s="1"/>
  <c r="L61" i="1" s="1"/>
  <c r="M61" i="1" s="1"/>
  <c r="H61" i="1"/>
  <c r="G61" i="1" s="1"/>
  <c r="F61" i="1" s="1"/>
  <c r="I56" i="1"/>
  <c r="B56" i="1"/>
  <c r="C56" i="1" s="1"/>
  <c r="D56" i="1" s="1"/>
  <c r="E56" i="1" s="1"/>
  <c r="F55" i="1"/>
  <c r="G55" i="1" s="1"/>
  <c r="H55" i="1" s="1"/>
  <c r="I55" i="1" s="1"/>
  <c r="J55" i="1" s="1"/>
  <c r="K55" i="1" s="1"/>
  <c r="L55" i="1" s="1"/>
  <c r="M55" i="1" s="1"/>
  <c r="J54" i="1"/>
  <c r="K54" i="1" s="1"/>
  <c r="L54" i="1" s="1"/>
  <c r="M54" i="1" s="1"/>
  <c r="H54" i="1"/>
  <c r="G54" i="1" s="1"/>
  <c r="F54" i="1" s="1"/>
  <c r="J53" i="1"/>
  <c r="K53" i="1" s="1"/>
  <c r="K56" i="1" s="1"/>
  <c r="H53" i="1"/>
  <c r="H56" i="1" s="1"/>
  <c r="G53" i="1"/>
  <c r="F53" i="1" s="1"/>
  <c r="F56" i="1" s="1"/>
  <c r="C53" i="1"/>
  <c r="D53" i="1" s="1"/>
  <c r="E53" i="1" s="1"/>
  <c r="I48" i="1"/>
  <c r="B48" i="1"/>
  <c r="C48" i="1" s="1"/>
  <c r="D48" i="1" s="1"/>
  <c r="E48" i="1" s="1"/>
  <c r="I47" i="1"/>
  <c r="J47" i="1" s="1"/>
  <c r="K47" i="1" s="1"/>
  <c r="L47" i="1" s="1"/>
  <c r="M47" i="1" s="1"/>
  <c r="G47" i="1"/>
  <c r="F47" i="1" s="1"/>
  <c r="J46" i="1"/>
  <c r="K46" i="1" s="1"/>
  <c r="L46" i="1" s="1"/>
  <c r="M46" i="1" s="1"/>
  <c r="H46" i="1"/>
  <c r="G46" i="1" s="1"/>
  <c r="F46" i="1" s="1"/>
  <c r="E46" i="1" s="1"/>
  <c r="D46" i="1" s="1"/>
  <c r="C46" i="1" s="1"/>
  <c r="B46" i="1" s="1"/>
  <c r="J45" i="1"/>
  <c r="K45" i="1" s="1"/>
  <c r="H45" i="1"/>
  <c r="G45" i="1" s="1"/>
  <c r="C45" i="1"/>
  <c r="D45" i="1" s="1"/>
  <c r="E45" i="1" s="1"/>
  <c r="J40" i="1"/>
  <c r="K40" i="1" s="1"/>
  <c r="L40" i="1" s="1"/>
  <c r="M40" i="1" s="1"/>
  <c r="H40" i="1"/>
  <c r="G40" i="1" s="1"/>
  <c r="F40" i="1" s="1"/>
  <c r="C40" i="1"/>
  <c r="D40" i="1" s="1"/>
  <c r="E40" i="1" s="1"/>
  <c r="I39" i="1"/>
  <c r="J38" i="1"/>
  <c r="J39" i="1" s="1"/>
  <c r="H38" i="1"/>
  <c r="G38" i="1" s="1"/>
  <c r="J37" i="1"/>
  <c r="K37" i="1" s="1"/>
  <c r="L37" i="1" s="1"/>
  <c r="M37" i="1" s="1"/>
  <c r="H37" i="1"/>
  <c r="G37" i="1" s="1"/>
  <c r="F37" i="1" s="1"/>
  <c r="E37" i="1" s="1"/>
  <c r="D37" i="1" s="1"/>
  <c r="C37" i="1" s="1"/>
  <c r="B37" i="1" s="1"/>
  <c r="J32" i="1"/>
  <c r="K32" i="1" s="1"/>
  <c r="L32" i="1" s="1"/>
  <c r="M32" i="1" s="1"/>
  <c r="H32" i="1"/>
  <c r="G32" i="1" s="1"/>
  <c r="F32" i="1" s="1"/>
  <c r="C32" i="1"/>
  <c r="D32" i="1" s="1"/>
  <c r="E32" i="1" s="1"/>
  <c r="B31" i="1"/>
  <c r="C30" i="1"/>
  <c r="D30" i="1" s="1"/>
  <c r="D31" i="1" s="1"/>
  <c r="J29" i="1"/>
  <c r="K29" i="1" s="1"/>
  <c r="L29" i="1" s="1"/>
  <c r="M29" i="1" s="1"/>
  <c r="H29" i="1"/>
  <c r="G29" i="1" s="1"/>
  <c r="F29" i="1" s="1"/>
  <c r="E29" i="1" s="1"/>
  <c r="D29" i="1" s="1"/>
  <c r="C29" i="1" s="1"/>
  <c r="B29" i="1" s="1"/>
  <c r="J23" i="1"/>
  <c r="K23" i="1" s="1"/>
  <c r="L23" i="1" s="1"/>
  <c r="M23" i="1" s="1"/>
  <c r="H23" i="1"/>
  <c r="G23" i="1"/>
  <c r="F23" i="1" s="1"/>
  <c r="C23" i="1"/>
  <c r="D23" i="1" s="1"/>
  <c r="E23" i="1" s="1"/>
  <c r="B22" i="1"/>
  <c r="C21" i="1"/>
  <c r="C22" i="1" s="1"/>
  <c r="C20" i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J15" i="1"/>
  <c r="K15" i="1" s="1"/>
  <c r="L15" i="1" s="1"/>
  <c r="M15" i="1" s="1"/>
  <c r="H15" i="1"/>
  <c r="G15" i="1" s="1"/>
  <c r="F15" i="1" s="1"/>
  <c r="C15" i="1"/>
  <c r="D15" i="1" s="1"/>
  <c r="E15" i="1" s="1"/>
  <c r="B14" i="1"/>
  <c r="C13" i="1"/>
  <c r="C14" i="1" s="1"/>
  <c r="C12" i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F7" i="1"/>
  <c r="D7" i="1"/>
  <c r="C7" i="1" s="1"/>
  <c r="B7" i="1" s="1"/>
  <c r="F6" i="1"/>
  <c r="G6" i="1" s="1"/>
  <c r="H6" i="1" s="1"/>
  <c r="I6" i="1" s="1"/>
  <c r="D6" i="1"/>
  <c r="C6" i="1" s="1"/>
  <c r="B6" i="1" s="1"/>
  <c r="F5" i="1"/>
  <c r="G5" i="1" s="1"/>
  <c r="H5" i="1" s="1"/>
  <c r="I5" i="1" s="1"/>
  <c r="C31" i="1" l="1"/>
  <c r="K38" i="1"/>
  <c r="D21" i="1"/>
  <c r="E21" i="1" s="1"/>
  <c r="E22" i="1" s="1"/>
  <c r="J56" i="1"/>
  <c r="G56" i="1"/>
  <c r="L53" i="1"/>
  <c r="F45" i="1"/>
  <c r="F48" i="1" s="1"/>
  <c r="G48" i="1"/>
  <c r="K48" i="1"/>
  <c r="L45" i="1"/>
  <c r="H48" i="1"/>
  <c r="J48" i="1"/>
  <c r="F38" i="1"/>
  <c r="G39" i="1"/>
  <c r="H39" i="1"/>
  <c r="E30" i="1"/>
  <c r="D13" i="1"/>
  <c r="F21" i="1" l="1"/>
  <c r="F22" i="1" s="1"/>
  <c r="L38" i="1"/>
  <c r="K39" i="1"/>
  <c r="D22" i="1"/>
  <c r="L56" i="1"/>
  <c r="M53" i="1"/>
  <c r="M56" i="1" s="1"/>
  <c r="L48" i="1"/>
  <c r="M45" i="1"/>
  <c r="M48" i="1" s="1"/>
  <c r="F39" i="1"/>
  <c r="E38" i="1"/>
  <c r="E31" i="1"/>
  <c r="F30" i="1"/>
  <c r="D14" i="1"/>
  <c r="E13" i="1"/>
  <c r="G21" i="1" l="1"/>
  <c r="G22" i="1" s="1"/>
  <c r="M38" i="1"/>
  <c r="M39" i="1" s="1"/>
  <c r="L39" i="1"/>
  <c r="E39" i="1"/>
  <c r="D38" i="1"/>
  <c r="F31" i="1"/>
  <c r="G30" i="1"/>
  <c r="E14" i="1"/>
  <c r="F13" i="1"/>
  <c r="H21" i="1" l="1"/>
  <c r="D39" i="1"/>
  <c r="C38" i="1"/>
  <c r="G31" i="1"/>
  <c r="H30" i="1"/>
  <c r="I21" i="1"/>
  <c r="H22" i="1"/>
  <c r="F14" i="1"/>
  <c r="G13" i="1"/>
  <c r="C39" i="1" l="1"/>
  <c r="B38" i="1"/>
  <c r="B39" i="1" s="1"/>
  <c r="H31" i="1"/>
  <c r="I30" i="1"/>
  <c r="J21" i="1"/>
  <c r="I22" i="1"/>
  <c r="G14" i="1"/>
  <c r="H13" i="1"/>
  <c r="J30" i="1" l="1"/>
  <c r="I31" i="1"/>
  <c r="K21" i="1"/>
  <c r="J22" i="1"/>
  <c r="I13" i="1"/>
  <c r="H14" i="1"/>
  <c r="K30" i="1" l="1"/>
  <c r="J31" i="1"/>
  <c r="L21" i="1"/>
  <c r="K22" i="1"/>
  <c r="J13" i="1"/>
  <c r="I14" i="1"/>
  <c r="L30" i="1" l="1"/>
  <c r="K31" i="1"/>
  <c r="L22" i="1"/>
  <c r="M21" i="1"/>
  <c r="M22" i="1" s="1"/>
  <c r="K13" i="1"/>
  <c r="J14" i="1"/>
  <c r="L31" i="1" l="1"/>
  <c r="M30" i="1"/>
  <c r="M31" i="1" s="1"/>
  <c r="L13" i="1"/>
  <c r="K14" i="1"/>
  <c r="L14" i="1" l="1"/>
  <c r="M13" i="1"/>
  <c r="M14" i="1" s="1"/>
</calcChain>
</file>

<file path=xl/sharedStrings.xml><?xml version="1.0" encoding="utf-8"?>
<sst xmlns="http://schemas.openxmlformats.org/spreadsheetml/2006/main" count="158" uniqueCount="34">
  <si>
    <t xml:space="preserve">BOYS BERMUDA </t>
  </si>
  <si>
    <t>POM IN CM</t>
  </si>
  <si>
    <t>2/3Y</t>
  </si>
  <si>
    <t>3/4Y</t>
  </si>
  <si>
    <t>4/5Y</t>
  </si>
  <si>
    <t>5/6Y</t>
  </si>
  <si>
    <t>7/8Y</t>
  </si>
  <si>
    <t>9/10Y</t>
  </si>
  <si>
    <t>11/12Y</t>
  </si>
  <si>
    <t>13/14Y</t>
  </si>
  <si>
    <t>TOTAL LENGTH</t>
  </si>
  <si>
    <t xml:space="preserve">HALF WAIST </t>
  </si>
  <si>
    <t>HIP WIDTH</t>
  </si>
  <si>
    <t>BOYS APPAREL SIZES</t>
  </si>
  <si>
    <t xml:space="preserve">BOYS T-SHIRT </t>
  </si>
  <si>
    <t>0-6M</t>
  </si>
  <si>
    <t>6-12M</t>
  </si>
  <si>
    <t>12-18M</t>
  </si>
  <si>
    <t>18-24M</t>
  </si>
  <si>
    <t xml:space="preserve">HALF CHEST </t>
  </si>
  <si>
    <t xml:space="preserve">ACROSS SHOULDER </t>
  </si>
  <si>
    <t>FULL SLEEVE LENGTH</t>
  </si>
  <si>
    <t xml:space="preserve">BOYS SHIRT </t>
  </si>
  <si>
    <t xml:space="preserve">BOYS SWEATSHIRT </t>
  </si>
  <si>
    <t xml:space="preserve">BOYS JACKET </t>
  </si>
  <si>
    <t>INSEAM LENGTH</t>
  </si>
  <si>
    <t>BOYS LOWER /JOGGER</t>
  </si>
  <si>
    <t xml:space="preserve">BOYS SHORTS </t>
  </si>
  <si>
    <t>BOYS JEANS / TROUSER</t>
  </si>
  <si>
    <t>NB</t>
  </si>
  <si>
    <t xml:space="preserve">Full sleeve length </t>
  </si>
  <si>
    <t>3/4 Sleeve length</t>
  </si>
  <si>
    <t>Half Sleeve length</t>
  </si>
  <si>
    <t>Overall Sleeve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</si>
</sst>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884C-64F0-4088-B4F1-1F1CA9B967E8}">
  <dimension ref="A1:N70"/>
  <sheetViews>
    <sheetView tabSelected="1" workbookViewId="0">
      <selection activeCell="A66" sqref="A66"/>
    </sheetView>
  </sheetViews>
  <sheetFormatPr defaultRowHeight="15" x14ac:dyDescent="0.25"/>
  <cols>
    <col min="1" max="1" width="20.85546875" bestFit="1" customWidth="1"/>
    <col min="7" max="7" width="9" customWidth="1"/>
  </cols>
  <sheetData>
    <row r="1" spans="1:13" ht="21" x14ac:dyDescent="0.35">
      <c r="G1" s="8" t="s">
        <v>13</v>
      </c>
      <c r="H1" s="8"/>
      <c r="I1" s="8"/>
    </row>
    <row r="3" spans="1:13" ht="15.75" thickBot="1" x14ac:dyDescent="0.3">
      <c r="A3" s="1" t="s">
        <v>0</v>
      </c>
    </row>
    <row r="4" spans="1:13" ht="15.75" thickBot="1" x14ac:dyDescent="0.3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</row>
    <row r="5" spans="1:13" x14ac:dyDescent="0.25">
      <c r="A5" s="5" t="s">
        <v>10</v>
      </c>
      <c r="B5" s="6">
        <v>36</v>
      </c>
      <c r="C5" s="6">
        <v>38</v>
      </c>
      <c r="D5" s="6">
        <v>40</v>
      </c>
      <c r="E5" s="6">
        <v>42</v>
      </c>
      <c r="F5" s="6">
        <f>E5+2</f>
        <v>44</v>
      </c>
      <c r="G5" s="6">
        <f>F5+4</f>
        <v>48</v>
      </c>
      <c r="H5" s="6">
        <f t="shared" ref="H5:I5" si="0">G5+4</f>
        <v>52</v>
      </c>
      <c r="I5" s="6">
        <f t="shared" si="0"/>
        <v>56</v>
      </c>
    </row>
    <row r="6" spans="1:13" x14ac:dyDescent="0.25">
      <c r="A6" s="7" t="s">
        <v>11</v>
      </c>
      <c r="B6" s="6">
        <f t="shared" ref="B6:C6" si="1">C6-2</f>
        <v>36</v>
      </c>
      <c r="C6" s="6">
        <f t="shared" si="1"/>
        <v>38</v>
      </c>
      <c r="D6" s="6">
        <f>E6-2</f>
        <v>40</v>
      </c>
      <c r="E6" s="6">
        <v>42</v>
      </c>
      <c r="F6" s="6">
        <f t="shared" ref="F6:I6" si="2">E6+3</f>
        <v>45</v>
      </c>
      <c r="G6" s="6">
        <f t="shared" si="2"/>
        <v>48</v>
      </c>
      <c r="H6" s="6">
        <f t="shared" si="2"/>
        <v>51</v>
      </c>
      <c r="I6" s="6">
        <f t="shared" si="2"/>
        <v>54</v>
      </c>
    </row>
    <row r="7" spans="1:13" x14ac:dyDescent="0.25">
      <c r="A7" s="7" t="s">
        <v>12</v>
      </c>
      <c r="B7" s="6">
        <f t="shared" ref="B7:C7" si="3">C7-1</f>
        <v>33</v>
      </c>
      <c r="C7" s="6">
        <f t="shared" si="3"/>
        <v>34</v>
      </c>
      <c r="D7" s="6">
        <f>E7-1</f>
        <v>35</v>
      </c>
      <c r="E7" s="6">
        <v>36</v>
      </c>
      <c r="F7" s="6">
        <f>E7+2</f>
        <v>38</v>
      </c>
      <c r="G7" s="6">
        <v>40</v>
      </c>
      <c r="H7" s="6">
        <v>42</v>
      </c>
      <c r="I7" s="6">
        <v>44</v>
      </c>
    </row>
    <row r="10" spans="1:13" ht="15.75" thickBot="1" x14ac:dyDescent="0.3">
      <c r="A10" s="1" t="s">
        <v>14</v>
      </c>
    </row>
    <row r="11" spans="1:13" ht="15.75" thickBot="1" x14ac:dyDescent="0.3">
      <c r="A11" s="2" t="s">
        <v>1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2</v>
      </c>
      <c r="G11" s="3" t="s">
        <v>3</v>
      </c>
      <c r="H11" s="3" t="s">
        <v>4</v>
      </c>
      <c r="I11" s="3" t="s">
        <v>5</v>
      </c>
      <c r="J11" s="3" t="s">
        <v>6</v>
      </c>
      <c r="K11" s="3" t="s">
        <v>7</v>
      </c>
      <c r="L11" s="3" t="s">
        <v>8</v>
      </c>
      <c r="M11" s="4" t="s">
        <v>9</v>
      </c>
    </row>
    <row r="12" spans="1:13" x14ac:dyDescent="0.25">
      <c r="A12" s="5" t="s">
        <v>10</v>
      </c>
      <c r="B12" s="6">
        <v>33</v>
      </c>
      <c r="C12" s="6">
        <f>B12+1</f>
        <v>34</v>
      </c>
      <c r="D12" s="6">
        <f t="shared" ref="D12:E13" si="4">C12+1</f>
        <v>35</v>
      </c>
      <c r="E12" s="6">
        <f t="shared" si="4"/>
        <v>36</v>
      </c>
      <c r="F12" s="6">
        <f>E12+5</f>
        <v>41</v>
      </c>
      <c r="G12" s="6">
        <f>F12+2</f>
        <v>43</v>
      </c>
      <c r="H12" s="6">
        <f t="shared" ref="H12:M12" si="5">G12+2</f>
        <v>45</v>
      </c>
      <c r="I12" s="6">
        <f t="shared" si="5"/>
        <v>47</v>
      </c>
      <c r="J12" s="6">
        <f t="shared" si="5"/>
        <v>49</v>
      </c>
      <c r="K12" s="6">
        <f t="shared" si="5"/>
        <v>51</v>
      </c>
      <c r="L12" s="6">
        <f t="shared" si="5"/>
        <v>53</v>
      </c>
      <c r="M12" s="6">
        <f t="shared" si="5"/>
        <v>55</v>
      </c>
    </row>
    <row r="13" spans="1:13" x14ac:dyDescent="0.25">
      <c r="A13" s="7" t="s">
        <v>19</v>
      </c>
      <c r="B13" s="6">
        <v>27</v>
      </c>
      <c r="C13" s="6">
        <f>B13+1</f>
        <v>28</v>
      </c>
      <c r="D13" s="6">
        <f t="shared" si="4"/>
        <v>29</v>
      </c>
      <c r="E13" s="6">
        <f t="shared" si="4"/>
        <v>30</v>
      </c>
      <c r="F13" s="6">
        <f>E13+1</f>
        <v>31</v>
      </c>
      <c r="G13" s="6">
        <f t="shared" ref="G13:M13" si="6">F13+3</f>
        <v>34</v>
      </c>
      <c r="H13" s="6">
        <f t="shared" si="6"/>
        <v>37</v>
      </c>
      <c r="I13" s="6">
        <f t="shared" si="6"/>
        <v>40</v>
      </c>
      <c r="J13" s="6">
        <f t="shared" si="6"/>
        <v>43</v>
      </c>
      <c r="K13" s="6">
        <f t="shared" si="6"/>
        <v>46</v>
      </c>
      <c r="L13" s="6">
        <f t="shared" si="6"/>
        <v>49</v>
      </c>
      <c r="M13" s="6">
        <f t="shared" si="6"/>
        <v>52</v>
      </c>
    </row>
    <row r="14" spans="1:13" x14ac:dyDescent="0.25">
      <c r="A14" s="7" t="s">
        <v>20</v>
      </c>
      <c r="B14" s="6">
        <f>B13-6</f>
        <v>21</v>
      </c>
      <c r="C14" s="6">
        <f t="shared" ref="C14:M14" si="7">C13-6</f>
        <v>22</v>
      </c>
      <c r="D14" s="6">
        <f t="shared" si="7"/>
        <v>23</v>
      </c>
      <c r="E14" s="6">
        <f t="shared" si="7"/>
        <v>24</v>
      </c>
      <c r="F14" s="6">
        <f t="shared" si="7"/>
        <v>25</v>
      </c>
      <c r="G14" s="6">
        <f t="shared" si="7"/>
        <v>28</v>
      </c>
      <c r="H14" s="6">
        <f t="shared" si="7"/>
        <v>31</v>
      </c>
      <c r="I14" s="6">
        <f t="shared" si="7"/>
        <v>34</v>
      </c>
      <c r="J14" s="6">
        <f t="shared" si="7"/>
        <v>37</v>
      </c>
      <c r="K14" s="6">
        <f t="shared" si="7"/>
        <v>40</v>
      </c>
      <c r="L14" s="6">
        <f t="shared" si="7"/>
        <v>43</v>
      </c>
      <c r="M14" s="6">
        <f t="shared" si="7"/>
        <v>46</v>
      </c>
    </row>
    <row r="15" spans="1:13" x14ac:dyDescent="0.25">
      <c r="A15" s="7" t="s">
        <v>21</v>
      </c>
      <c r="B15" s="6">
        <v>26</v>
      </c>
      <c r="C15" s="6">
        <f>B15+2</f>
        <v>28</v>
      </c>
      <c r="D15" s="6">
        <f t="shared" ref="D15:E15" si="8">C15+2</f>
        <v>30</v>
      </c>
      <c r="E15" s="6">
        <f t="shared" si="8"/>
        <v>32</v>
      </c>
      <c r="F15" s="6">
        <f t="shared" ref="F15:G15" si="9">G15-2</f>
        <v>36</v>
      </c>
      <c r="G15" s="6">
        <f t="shared" si="9"/>
        <v>38</v>
      </c>
      <c r="H15" s="6">
        <f>I15-2</f>
        <v>40</v>
      </c>
      <c r="I15" s="6">
        <v>42</v>
      </c>
      <c r="J15" s="6">
        <f>I15+4</f>
        <v>46</v>
      </c>
      <c r="K15" s="6">
        <f t="shared" ref="K15:M15" si="10">J15+4</f>
        <v>50</v>
      </c>
      <c r="L15" s="6">
        <f t="shared" si="10"/>
        <v>54</v>
      </c>
      <c r="M15" s="6">
        <f t="shared" si="10"/>
        <v>58</v>
      </c>
    </row>
    <row r="18" spans="1:13" ht="15.75" thickBot="1" x14ac:dyDescent="0.3">
      <c r="A18" s="9" t="s">
        <v>22</v>
      </c>
    </row>
    <row r="19" spans="1:13" ht="15.75" thickBot="1" x14ac:dyDescent="0.3">
      <c r="A19" s="2" t="s">
        <v>1</v>
      </c>
      <c r="B19" s="3" t="s">
        <v>15</v>
      </c>
      <c r="C19" s="3" t="s">
        <v>16</v>
      </c>
      <c r="D19" s="3" t="s">
        <v>17</v>
      </c>
      <c r="E19" s="3" t="s">
        <v>18</v>
      </c>
      <c r="F19" s="3" t="s">
        <v>2</v>
      </c>
      <c r="G19" s="3" t="s">
        <v>3</v>
      </c>
      <c r="H19" s="3" t="s">
        <v>4</v>
      </c>
      <c r="I19" s="3" t="s">
        <v>5</v>
      </c>
      <c r="J19" s="3" t="s">
        <v>6</v>
      </c>
      <c r="K19" s="3" t="s">
        <v>7</v>
      </c>
      <c r="L19" s="3" t="s">
        <v>8</v>
      </c>
      <c r="M19" s="4" t="s">
        <v>9</v>
      </c>
    </row>
    <row r="20" spans="1:13" x14ac:dyDescent="0.25">
      <c r="A20" s="5" t="s">
        <v>10</v>
      </c>
      <c r="B20" s="6">
        <v>33</v>
      </c>
      <c r="C20" s="6">
        <f>B20+1</f>
        <v>34</v>
      </c>
      <c r="D20" s="6">
        <f t="shared" ref="D20:E21" si="11">C20+1</f>
        <v>35</v>
      </c>
      <c r="E20" s="6">
        <f t="shared" si="11"/>
        <v>36</v>
      </c>
      <c r="F20" s="6">
        <f>E20+5</f>
        <v>41</v>
      </c>
      <c r="G20" s="6">
        <f>F20+2</f>
        <v>43</v>
      </c>
      <c r="H20" s="6">
        <f t="shared" ref="H20:M20" si="12">G20+2</f>
        <v>45</v>
      </c>
      <c r="I20" s="6">
        <f t="shared" si="12"/>
        <v>47</v>
      </c>
      <c r="J20" s="6">
        <f t="shared" si="12"/>
        <v>49</v>
      </c>
      <c r="K20" s="6">
        <f t="shared" si="12"/>
        <v>51</v>
      </c>
      <c r="L20" s="6">
        <f t="shared" si="12"/>
        <v>53</v>
      </c>
      <c r="M20" s="6">
        <f t="shared" si="12"/>
        <v>55</v>
      </c>
    </row>
    <row r="21" spans="1:13" x14ac:dyDescent="0.25">
      <c r="A21" s="7" t="s">
        <v>19</v>
      </c>
      <c r="B21" s="6">
        <v>27</v>
      </c>
      <c r="C21" s="6">
        <f>B21+1</f>
        <v>28</v>
      </c>
      <c r="D21" s="6">
        <f t="shared" si="11"/>
        <v>29</v>
      </c>
      <c r="E21" s="6">
        <f t="shared" si="11"/>
        <v>30</v>
      </c>
      <c r="F21" s="6">
        <f>E21+1</f>
        <v>31</v>
      </c>
      <c r="G21" s="6">
        <f t="shared" ref="G21:M21" si="13">F21+3</f>
        <v>34</v>
      </c>
      <c r="H21" s="6">
        <f t="shared" si="13"/>
        <v>37</v>
      </c>
      <c r="I21" s="6">
        <f t="shared" si="13"/>
        <v>40</v>
      </c>
      <c r="J21" s="6">
        <f t="shared" si="13"/>
        <v>43</v>
      </c>
      <c r="K21" s="6">
        <f t="shared" si="13"/>
        <v>46</v>
      </c>
      <c r="L21" s="6">
        <f t="shared" si="13"/>
        <v>49</v>
      </c>
      <c r="M21" s="6">
        <f t="shared" si="13"/>
        <v>52</v>
      </c>
    </row>
    <row r="22" spans="1:13" x14ac:dyDescent="0.25">
      <c r="A22" s="7" t="s">
        <v>20</v>
      </c>
      <c r="B22" s="6">
        <f>B21-6</f>
        <v>21</v>
      </c>
      <c r="C22" s="6">
        <f t="shared" ref="C22:M22" si="14">C21-6</f>
        <v>22</v>
      </c>
      <c r="D22" s="6">
        <f t="shared" si="14"/>
        <v>23</v>
      </c>
      <c r="E22" s="6">
        <f t="shared" si="14"/>
        <v>24</v>
      </c>
      <c r="F22" s="6">
        <f t="shared" si="14"/>
        <v>25</v>
      </c>
      <c r="G22" s="6">
        <f t="shared" si="14"/>
        <v>28</v>
      </c>
      <c r="H22" s="6">
        <f t="shared" si="14"/>
        <v>31</v>
      </c>
      <c r="I22" s="6">
        <f t="shared" si="14"/>
        <v>34</v>
      </c>
      <c r="J22" s="6">
        <f t="shared" si="14"/>
        <v>37</v>
      </c>
      <c r="K22" s="6">
        <f t="shared" si="14"/>
        <v>40</v>
      </c>
      <c r="L22" s="6">
        <f t="shared" si="14"/>
        <v>43</v>
      </c>
      <c r="M22" s="6">
        <f t="shared" si="14"/>
        <v>46</v>
      </c>
    </row>
    <row r="23" spans="1:13" x14ac:dyDescent="0.25">
      <c r="A23" s="7" t="s">
        <v>21</v>
      </c>
      <c r="B23" s="6">
        <v>26</v>
      </c>
      <c r="C23" s="6">
        <f>B23+2</f>
        <v>28</v>
      </c>
      <c r="D23" s="6">
        <f t="shared" ref="D23:E23" si="15">C23+2</f>
        <v>30</v>
      </c>
      <c r="E23" s="6">
        <f t="shared" si="15"/>
        <v>32</v>
      </c>
      <c r="F23" s="6">
        <f t="shared" ref="F23:G23" si="16">G23-2</f>
        <v>36</v>
      </c>
      <c r="G23" s="6">
        <f t="shared" si="16"/>
        <v>38</v>
      </c>
      <c r="H23" s="6">
        <f>I23-2</f>
        <v>40</v>
      </c>
      <c r="I23" s="6">
        <v>42</v>
      </c>
      <c r="J23" s="6">
        <f>I23+4</f>
        <v>46</v>
      </c>
      <c r="K23" s="6">
        <f t="shared" ref="K23:M23" si="17">J23+4</f>
        <v>50</v>
      </c>
      <c r="L23" s="6">
        <f t="shared" si="17"/>
        <v>54</v>
      </c>
      <c r="M23" s="6">
        <f t="shared" si="17"/>
        <v>58</v>
      </c>
    </row>
    <row r="27" spans="1:13" ht="15.75" thickBot="1" x14ac:dyDescent="0.3">
      <c r="A27" s="1" t="s">
        <v>23</v>
      </c>
    </row>
    <row r="28" spans="1:13" ht="15.75" thickBot="1" x14ac:dyDescent="0.3">
      <c r="A28" s="2" t="s">
        <v>1</v>
      </c>
      <c r="B28" s="3" t="s">
        <v>15</v>
      </c>
      <c r="C28" s="3" t="s">
        <v>16</v>
      </c>
      <c r="D28" s="3" t="s">
        <v>17</v>
      </c>
      <c r="E28" s="3" t="s">
        <v>18</v>
      </c>
      <c r="F28" s="3" t="s">
        <v>2</v>
      </c>
      <c r="G28" s="3" t="s">
        <v>3</v>
      </c>
      <c r="H28" s="3" t="s">
        <v>4</v>
      </c>
      <c r="I28" s="3" t="s">
        <v>5</v>
      </c>
      <c r="J28" s="3" t="s">
        <v>6</v>
      </c>
      <c r="K28" s="3" t="s">
        <v>7</v>
      </c>
      <c r="L28" s="3" t="s">
        <v>8</v>
      </c>
      <c r="M28" s="4" t="s">
        <v>9</v>
      </c>
    </row>
    <row r="29" spans="1:13" x14ac:dyDescent="0.25">
      <c r="A29" s="5" t="s">
        <v>10</v>
      </c>
      <c r="B29" s="6">
        <f t="shared" ref="B29:D29" si="18">C29-2</f>
        <v>34</v>
      </c>
      <c r="C29" s="6">
        <f t="shared" si="18"/>
        <v>36</v>
      </c>
      <c r="D29" s="6">
        <f t="shared" si="18"/>
        <v>38</v>
      </c>
      <c r="E29" s="6">
        <f>F29-2</f>
        <v>40</v>
      </c>
      <c r="F29" s="6">
        <f t="shared" ref="F29:G29" si="19">G29-2</f>
        <v>42</v>
      </c>
      <c r="G29" s="6">
        <f t="shared" si="19"/>
        <v>44</v>
      </c>
      <c r="H29" s="6">
        <f>I29-2</f>
        <v>46</v>
      </c>
      <c r="I29" s="6">
        <v>48</v>
      </c>
      <c r="J29" s="6">
        <f t="shared" ref="J29:M29" si="20">I29+2</f>
        <v>50</v>
      </c>
      <c r="K29" s="6">
        <f t="shared" si="20"/>
        <v>52</v>
      </c>
      <c r="L29" s="6">
        <f t="shared" si="20"/>
        <v>54</v>
      </c>
      <c r="M29" s="6">
        <f t="shared" si="20"/>
        <v>56</v>
      </c>
    </row>
    <row r="30" spans="1:13" x14ac:dyDescent="0.25">
      <c r="A30" s="7" t="s">
        <v>19</v>
      </c>
      <c r="B30" s="6">
        <v>27</v>
      </c>
      <c r="C30" s="6">
        <f>B30+1</f>
        <v>28</v>
      </c>
      <c r="D30" s="6">
        <f t="shared" ref="D30:E30" si="21">C30+1</f>
        <v>29</v>
      </c>
      <c r="E30" s="6">
        <f t="shared" si="21"/>
        <v>30</v>
      </c>
      <c r="F30" s="6">
        <f>E30+1</f>
        <v>31</v>
      </c>
      <c r="G30" s="6">
        <f t="shared" ref="G30:M30" si="22">F30+3</f>
        <v>34</v>
      </c>
      <c r="H30" s="6">
        <f t="shared" si="22"/>
        <v>37</v>
      </c>
      <c r="I30" s="6">
        <f t="shared" si="22"/>
        <v>40</v>
      </c>
      <c r="J30" s="6">
        <f t="shared" si="22"/>
        <v>43</v>
      </c>
      <c r="K30" s="6">
        <f t="shared" si="22"/>
        <v>46</v>
      </c>
      <c r="L30" s="6">
        <f t="shared" si="22"/>
        <v>49</v>
      </c>
      <c r="M30" s="6">
        <f t="shared" si="22"/>
        <v>52</v>
      </c>
    </row>
    <row r="31" spans="1:13" x14ac:dyDescent="0.25">
      <c r="A31" s="7" t="s">
        <v>20</v>
      </c>
      <c r="B31" s="6">
        <f>B30-6</f>
        <v>21</v>
      </c>
      <c r="C31" s="6">
        <f t="shared" ref="C31:M31" si="23">C30-6</f>
        <v>22</v>
      </c>
      <c r="D31" s="6">
        <f t="shared" si="23"/>
        <v>23</v>
      </c>
      <c r="E31" s="6">
        <f t="shared" si="23"/>
        <v>24</v>
      </c>
      <c r="F31" s="6">
        <f t="shared" si="23"/>
        <v>25</v>
      </c>
      <c r="G31" s="6">
        <f t="shared" si="23"/>
        <v>28</v>
      </c>
      <c r="H31" s="6">
        <f t="shared" si="23"/>
        <v>31</v>
      </c>
      <c r="I31" s="6">
        <f t="shared" si="23"/>
        <v>34</v>
      </c>
      <c r="J31" s="6">
        <f t="shared" si="23"/>
        <v>37</v>
      </c>
      <c r="K31" s="6">
        <f t="shared" si="23"/>
        <v>40</v>
      </c>
      <c r="L31" s="6">
        <f t="shared" si="23"/>
        <v>43</v>
      </c>
      <c r="M31" s="6">
        <f t="shared" si="23"/>
        <v>46</v>
      </c>
    </row>
    <row r="32" spans="1:13" x14ac:dyDescent="0.25">
      <c r="A32" s="7" t="s">
        <v>21</v>
      </c>
      <c r="B32" s="6">
        <v>26</v>
      </c>
      <c r="C32" s="6">
        <f>B32+2</f>
        <v>28</v>
      </c>
      <c r="D32" s="6">
        <f t="shared" ref="D32:E32" si="24">C32+2</f>
        <v>30</v>
      </c>
      <c r="E32" s="6">
        <f t="shared" si="24"/>
        <v>32</v>
      </c>
      <c r="F32" s="6">
        <f t="shared" ref="F32:G32" si="25">G32-2</f>
        <v>36</v>
      </c>
      <c r="G32" s="6">
        <f t="shared" si="25"/>
        <v>38</v>
      </c>
      <c r="H32" s="6">
        <f>I32-2</f>
        <v>40</v>
      </c>
      <c r="I32" s="6">
        <v>42</v>
      </c>
      <c r="J32" s="6">
        <f>I32+4</f>
        <v>46</v>
      </c>
      <c r="K32" s="6">
        <f t="shared" ref="K32:M32" si="26">J32+4</f>
        <v>50</v>
      </c>
      <c r="L32" s="6">
        <f t="shared" si="26"/>
        <v>54</v>
      </c>
      <c r="M32" s="6">
        <f t="shared" si="26"/>
        <v>58</v>
      </c>
    </row>
    <row r="35" spans="1:13" ht="15.75" thickBot="1" x14ac:dyDescent="0.3">
      <c r="A35" s="1" t="s">
        <v>24</v>
      </c>
    </row>
    <row r="36" spans="1:13" ht="15.75" thickBot="1" x14ac:dyDescent="0.3">
      <c r="A36" s="2" t="s">
        <v>1</v>
      </c>
      <c r="B36" s="3" t="s">
        <v>15</v>
      </c>
      <c r="C36" s="3" t="s">
        <v>16</v>
      </c>
      <c r="D36" s="3" t="s">
        <v>17</v>
      </c>
      <c r="E36" s="3" t="s">
        <v>18</v>
      </c>
      <c r="F36" s="3" t="s">
        <v>2</v>
      </c>
      <c r="G36" s="3" t="s">
        <v>3</v>
      </c>
      <c r="H36" s="3" t="s">
        <v>4</v>
      </c>
      <c r="I36" s="3" t="s">
        <v>5</v>
      </c>
      <c r="J36" s="3" t="s">
        <v>6</v>
      </c>
      <c r="K36" s="3" t="s">
        <v>7</v>
      </c>
      <c r="L36" s="3" t="s">
        <v>8</v>
      </c>
      <c r="M36" s="4" t="s">
        <v>9</v>
      </c>
    </row>
    <row r="37" spans="1:13" x14ac:dyDescent="0.25">
      <c r="A37" s="5" t="s">
        <v>10</v>
      </c>
      <c r="B37" s="6">
        <f t="shared" ref="B37:G38" si="27">C37-2</f>
        <v>31</v>
      </c>
      <c r="C37" s="6">
        <f t="shared" si="27"/>
        <v>33</v>
      </c>
      <c r="D37" s="6">
        <f t="shared" si="27"/>
        <v>35</v>
      </c>
      <c r="E37" s="6">
        <f>F37-2</f>
        <v>37</v>
      </c>
      <c r="F37" s="6">
        <f t="shared" ref="F37:G37" si="28">G37-2</f>
        <v>39</v>
      </c>
      <c r="G37" s="6">
        <f t="shared" si="28"/>
        <v>41</v>
      </c>
      <c r="H37" s="6">
        <f>I37-2</f>
        <v>43</v>
      </c>
      <c r="I37" s="6">
        <v>45</v>
      </c>
      <c r="J37" s="6">
        <f t="shared" ref="J37:M37" si="29">I37+2</f>
        <v>47</v>
      </c>
      <c r="K37" s="6">
        <f t="shared" si="29"/>
        <v>49</v>
      </c>
      <c r="L37" s="6">
        <f t="shared" si="29"/>
        <v>51</v>
      </c>
      <c r="M37" s="6">
        <f t="shared" si="29"/>
        <v>53</v>
      </c>
    </row>
    <row r="38" spans="1:13" x14ac:dyDescent="0.25">
      <c r="A38" s="7" t="s">
        <v>19</v>
      </c>
      <c r="B38" s="6">
        <f t="shared" si="27"/>
        <v>28</v>
      </c>
      <c r="C38" s="6">
        <f t="shared" si="27"/>
        <v>30</v>
      </c>
      <c r="D38" s="6">
        <f t="shared" si="27"/>
        <v>32</v>
      </c>
      <c r="E38" s="6">
        <f t="shared" si="27"/>
        <v>34</v>
      </c>
      <c r="F38" s="6">
        <f t="shared" si="27"/>
        <v>36</v>
      </c>
      <c r="G38" s="6">
        <f t="shared" si="27"/>
        <v>38</v>
      </c>
      <c r="H38" s="6">
        <f>I38-2</f>
        <v>40</v>
      </c>
      <c r="I38" s="6">
        <v>42</v>
      </c>
      <c r="J38" s="6">
        <f t="shared" ref="J38:M38" si="30">I38+3</f>
        <v>45</v>
      </c>
      <c r="K38" s="6">
        <f t="shared" si="30"/>
        <v>48</v>
      </c>
      <c r="L38" s="6">
        <f t="shared" si="30"/>
        <v>51</v>
      </c>
      <c r="M38" s="6">
        <f t="shared" si="30"/>
        <v>54</v>
      </c>
    </row>
    <row r="39" spans="1:13" x14ac:dyDescent="0.25">
      <c r="A39" s="7" t="s">
        <v>20</v>
      </c>
      <c r="B39" s="6">
        <f>B38-6</f>
        <v>22</v>
      </c>
      <c r="C39" s="6">
        <f t="shared" ref="C39:M39" si="31">C38-6</f>
        <v>24</v>
      </c>
      <c r="D39" s="6">
        <f t="shared" si="31"/>
        <v>26</v>
      </c>
      <c r="E39" s="6">
        <f t="shared" si="31"/>
        <v>28</v>
      </c>
      <c r="F39" s="6">
        <f t="shared" si="31"/>
        <v>30</v>
      </c>
      <c r="G39" s="6">
        <f t="shared" si="31"/>
        <v>32</v>
      </c>
      <c r="H39" s="6">
        <f t="shared" si="31"/>
        <v>34</v>
      </c>
      <c r="I39" s="6">
        <f t="shared" si="31"/>
        <v>36</v>
      </c>
      <c r="J39" s="6">
        <f t="shared" si="31"/>
        <v>39</v>
      </c>
      <c r="K39" s="6">
        <f t="shared" si="31"/>
        <v>42</v>
      </c>
      <c r="L39" s="6">
        <f t="shared" si="31"/>
        <v>45</v>
      </c>
      <c r="M39" s="6">
        <f t="shared" si="31"/>
        <v>48</v>
      </c>
    </row>
    <row r="40" spans="1:13" x14ac:dyDescent="0.25">
      <c r="A40" s="7" t="s">
        <v>21</v>
      </c>
      <c r="B40" s="6">
        <v>26</v>
      </c>
      <c r="C40" s="6">
        <f>B40+2</f>
        <v>28</v>
      </c>
      <c r="D40" s="6">
        <f t="shared" ref="D40:E40" si="32">C40+2</f>
        <v>30</v>
      </c>
      <c r="E40" s="6">
        <f t="shared" si="32"/>
        <v>32</v>
      </c>
      <c r="F40" s="6">
        <f t="shared" ref="F40:G40" si="33">G40-2</f>
        <v>36</v>
      </c>
      <c r="G40" s="6">
        <f t="shared" si="33"/>
        <v>38</v>
      </c>
      <c r="H40" s="6">
        <f>I40-2</f>
        <v>40</v>
      </c>
      <c r="I40" s="6">
        <v>42</v>
      </c>
      <c r="J40" s="6">
        <f>I40+4</f>
        <v>46</v>
      </c>
      <c r="K40" s="6">
        <f t="shared" ref="K40:M40" si="34">J40+4</f>
        <v>50</v>
      </c>
      <c r="L40" s="6">
        <f t="shared" si="34"/>
        <v>54</v>
      </c>
      <c r="M40" s="6">
        <f t="shared" si="34"/>
        <v>58</v>
      </c>
    </row>
    <row r="43" spans="1:13" ht="15.75" thickBot="1" x14ac:dyDescent="0.3">
      <c r="A43" s="1" t="s">
        <v>28</v>
      </c>
    </row>
    <row r="44" spans="1:13" ht="15.75" thickBot="1" x14ac:dyDescent="0.3">
      <c r="A44" s="2" t="s">
        <v>1</v>
      </c>
      <c r="B44" s="3" t="s">
        <v>15</v>
      </c>
      <c r="C44" s="3" t="s">
        <v>16</v>
      </c>
      <c r="D44" s="3" t="s">
        <v>17</v>
      </c>
      <c r="E44" s="3" t="s">
        <v>18</v>
      </c>
      <c r="F44" s="3" t="s">
        <v>2</v>
      </c>
      <c r="G44" s="3" t="s">
        <v>3</v>
      </c>
      <c r="H44" s="3" t="s">
        <v>4</v>
      </c>
      <c r="I44" s="3" t="s">
        <v>5</v>
      </c>
      <c r="J44" s="3" t="s">
        <v>6</v>
      </c>
      <c r="K44" s="3" t="s">
        <v>7</v>
      </c>
      <c r="L44" s="3" t="s">
        <v>8</v>
      </c>
      <c r="M44" s="4" t="s">
        <v>9</v>
      </c>
    </row>
    <row r="45" spans="1:13" x14ac:dyDescent="0.25">
      <c r="A45" s="5" t="s">
        <v>10</v>
      </c>
      <c r="B45" s="6">
        <v>34</v>
      </c>
      <c r="C45" s="6">
        <f>B45+2</f>
        <v>36</v>
      </c>
      <c r="D45" s="6">
        <f t="shared" ref="D45:E45" si="35">C45+2</f>
        <v>38</v>
      </c>
      <c r="E45" s="6">
        <f t="shared" si="35"/>
        <v>40</v>
      </c>
      <c r="F45" s="6">
        <f t="shared" ref="F45:G45" si="36">G45-4</f>
        <v>57</v>
      </c>
      <c r="G45" s="6">
        <f t="shared" si="36"/>
        <v>61</v>
      </c>
      <c r="H45" s="6">
        <f>I45-4</f>
        <v>65</v>
      </c>
      <c r="I45" s="6">
        <v>69</v>
      </c>
      <c r="J45" s="6">
        <f>I45+4</f>
        <v>73</v>
      </c>
      <c r="K45" s="6">
        <f>J45+6</f>
        <v>79</v>
      </c>
      <c r="L45" s="6">
        <f t="shared" ref="L45:M45" si="37">K45+8</f>
        <v>87</v>
      </c>
      <c r="M45" s="6">
        <f t="shared" si="37"/>
        <v>95</v>
      </c>
    </row>
    <row r="46" spans="1:13" x14ac:dyDescent="0.25">
      <c r="A46" s="7" t="s">
        <v>11</v>
      </c>
      <c r="B46" s="6">
        <f t="shared" ref="B46:C46" si="38">C46-1</f>
        <v>20</v>
      </c>
      <c r="C46" s="6">
        <f t="shared" si="38"/>
        <v>21</v>
      </c>
      <c r="D46" s="6">
        <f>E46-1</f>
        <v>22</v>
      </c>
      <c r="E46" s="6">
        <f t="shared" ref="E46:F46" si="39">F46-2</f>
        <v>23</v>
      </c>
      <c r="F46" s="6">
        <f t="shared" si="39"/>
        <v>25</v>
      </c>
      <c r="G46" s="6">
        <f>H46-1</f>
        <v>27</v>
      </c>
      <c r="H46" s="6">
        <f>I46-1</f>
        <v>28</v>
      </c>
      <c r="I46" s="6">
        <v>29</v>
      </c>
      <c r="J46" s="6">
        <f>I46+2</f>
        <v>31</v>
      </c>
      <c r="K46" s="6">
        <f t="shared" ref="K46:M46" si="40">J46+2</f>
        <v>33</v>
      </c>
      <c r="L46" s="6">
        <f t="shared" si="40"/>
        <v>35</v>
      </c>
      <c r="M46" s="6">
        <f t="shared" si="40"/>
        <v>37</v>
      </c>
    </row>
    <row r="47" spans="1:13" x14ac:dyDescent="0.25">
      <c r="A47" s="7" t="s">
        <v>12</v>
      </c>
      <c r="B47" s="6">
        <v>27</v>
      </c>
      <c r="C47" s="6">
        <v>28</v>
      </c>
      <c r="D47" s="6">
        <v>29</v>
      </c>
      <c r="E47" s="6">
        <v>30</v>
      </c>
      <c r="F47" s="6">
        <f>G47-1</f>
        <v>33</v>
      </c>
      <c r="G47" s="6">
        <f>H47-1</f>
        <v>34</v>
      </c>
      <c r="H47" s="6">
        <v>35</v>
      </c>
      <c r="I47" s="6">
        <f t="shared" ref="I47:M47" si="41">H47+1</f>
        <v>36</v>
      </c>
      <c r="J47" s="6">
        <f t="shared" si="41"/>
        <v>37</v>
      </c>
      <c r="K47" s="6">
        <f t="shared" si="41"/>
        <v>38</v>
      </c>
      <c r="L47" s="6">
        <f t="shared" si="41"/>
        <v>39</v>
      </c>
      <c r="M47" s="6">
        <f t="shared" si="41"/>
        <v>40</v>
      </c>
    </row>
    <row r="48" spans="1:13" x14ac:dyDescent="0.25">
      <c r="A48" s="7" t="s">
        <v>25</v>
      </c>
      <c r="B48" s="6">
        <f>B45-18</f>
        <v>16</v>
      </c>
      <c r="C48" s="6">
        <f>B48+1</f>
        <v>17</v>
      </c>
      <c r="D48" s="6">
        <f t="shared" ref="D48:E48" si="42">C48+1</f>
        <v>18</v>
      </c>
      <c r="E48" s="6">
        <f t="shared" si="42"/>
        <v>19</v>
      </c>
      <c r="F48" s="6">
        <f>F45-25</f>
        <v>32</v>
      </c>
      <c r="G48" s="6">
        <f>G45-27.5</f>
        <v>33.5</v>
      </c>
      <c r="H48" s="6">
        <f>H45-28.5</f>
        <v>36.5</v>
      </c>
      <c r="I48" s="6">
        <f>I45-29</f>
        <v>40</v>
      </c>
      <c r="J48" s="6">
        <f>J45-30</f>
        <v>43</v>
      </c>
      <c r="K48" s="6">
        <f>K45-31</f>
        <v>48</v>
      </c>
      <c r="L48" s="6">
        <f>L45-32</f>
        <v>55</v>
      </c>
      <c r="M48" s="6">
        <f>M45-33</f>
        <v>62</v>
      </c>
    </row>
    <row r="51" spans="1:13" ht="15.75" thickBot="1" x14ac:dyDescent="0.3">
      <c r="A51" s="1" t="s">
        <v>26</v>
      </c>
    </row>
    <row r="52" spans="1:13" ht="15.75" thickBot="1" x14ac:dyDescent="0.3">
      <c r="A52" s="2" t="s">
        <v>1</v>
      </c>
      <c r="B52" s="3" t="s">
        <v>15</v>
      </c>
      <c r="C52" s="3" t="s">
        <v>16</v>
      </c>
      <c r="D52" s="3" t="s">
        <v>17</v>
      </c>
      <c r="E52" s="3" t="s">
        <v>18</v>
      </c>
      <c r="F52" s="3" t="s">
        <v>2</v>
      </c>
      <c r="G52" s="3" t="s">
        <v>3</v>
      </c>
      <c r="H52" s="3" t="s">
        <v>4</v>
      </c>
      <c r="I52" s="3" t="s">
        <v>5</v>
      </c>
      <c r="J52" s="3" t="s">
        <v>6</v>
      </c>
      <c r="K52" s="3" t="s">
        <v>7</v>
      </c>
      <c r="L52" s="3" t="s">
        <v>8</v>
      </c>
      <c r="M52" s="4" t="s">
        <v>9</v>
      </c>
    </row>
    <row r="53" spans="1:13" x14ac:dyDescent="0.25">
      <c r="A53" s="5" t="s">
        <v>10</v>
      </c>
      <c r="B53" s="6">
        <v>34</v>
      </c>
      <c r="C53" s="6">
        <f>B53+2</f>
        <v>36</v>
      </c>
      <c r="D53" s="6">
        <f t="shared" ref="D53:E53" si="43">C53+2</f>
        <v>38</v>
      </c>
      <c r="E53" s="6">
        <f t="shared" si="43"/>
        <v>40</v>
      </c>
      <c r="F53" s="6">
        <f t="shared" ref="F53:G53" si="44">G53-4</f>
        <v>57</v>
      </c>
      <c r="G53" s="6">
        <f t="shared" si="44"/>
        <v>61</v>
      </c>
      <c r="H53" s="6">
        <f>I53-4</f>
        <v>65</v>
      </c>
      <c r="I53" s="6">
        <v>69</v>
      </c>
      <c r="J53" s="6">
        <f>I53+4</f>
        <v>73</v>
      </c>
      <c r="K53" s="6">
        <f>J53+6</f>
        <v>79</v>
      </c>
      <c r="L53" s="6">
        <f t="shared" ref="L53:M53" si="45">K53+8</f>
        <v>87</v>
      </c>
      <c r="M53" s="6">
        <f t="shared" si="45"/>
        <v>95</v>
      </c>
    </row>
    <row r="54" spans="1:13" x14ac:dyDescent="0.25">
      <c r="A54" s="7" t="s">
        <v>11</v>
      </c>
      <c r="B54" s="6">
        <v>19</v>
      </c>
      <c r="C54" s="6">
        <v>20</v>
      </c>
      <c r="D54" s="6">
        <v>21</v>
      </c>
      <c r="E54" s="6">
        <v>22</v>
      </c>
      <c r="F54" s="6">
        <f t="shared" ref="F54" si="46">G54-2</f>
        <v>22</v>
      </c>
      <c r="G54" s="6">
        <f>H54-1</f>
        <v>24</v>
      </c>
      <c r="H54" s="6">
        <f>I54-1</f>
        <v>25</v>
      </c>
      <c r="I54" s="6">
        <v>26</v>
      </c>
      <c r="J54" s="6">
        <f>I54+2</f>
        <v>28</v>
      </c>
      <c r="K54" s="6">
        <f t="shared" ref="K54:M54" si="47">J54+2</f>
        <v>30</v>
      </c>
      <c r="L54" s="6">
        <f t="shared" si="47"/>
        <v>32</v>
      </c>
      <c r="M54" s="6">
        <f t="shared" si="47"/>
        <v>34</v>
      </c>
    </row>
    <row r="55" spans="1:13" x14ac:dyDescent="0.25">
      <c r="A55" s="7" t="s">
        <v>12</v>
      </c>
      <c r="B55" s="6">
        <v>27</v>
      </c>
      <c r="C55" s="6">
        <v>28</v>
      </c>
      <c r="D55" s="6">
        <v>29</v>
      </c>
      <c r="E55" s="6">
        <v>30</v>
      </c>
      <c r="F55" s="6">
        <f>E55+2</f>
        <v>32</v>
      </c>
      <c r="G55" s="6">
        <f>F55+1</f>
        <v>33</v>
      </c>
      <c r="H55" s="6">
        <f t="shared" ref="H55:M55" si="48">G55+1</f>
        <v>34</v>
      </c>
      <c r="I55" s="6">
        <f t="shared" si="48"/>
        <v>35</v>
      </c>
      <c r="J55" s="6">
        <f t="shared" si="48"/>
        <v>36</v>
      </c>
      <c r="K55" s="6">
        <f t="shared" si="48"/>
        <v>37</v>
      </c>
      <c r="L55" s="6">
        <f t="shared" si="48"/>
        <v>38</v>
      </c>
      <c r="M55" s="6">
        <f t="shared" si="48"/>
        <v>39</v>
      </c>
    </row>
    <row r="56" spans="1:13" x14ac:dyDescent="0.25">
      <c r="A56" s="7" t="s">
        <v>25</v>
      </c>
      <c r="B56" s="6">
        <f>B53-18</f>
        <v>16</v>
      </c>
      <c r="C56" s="6">
        <f>B56+1</f>
        <v>17</v>
      </c>
      <c r="D56" s="6">
        <f t="shared" ref="D56:E56" si="49">C56+1</f>
        <v>18</v>
      </c>
      <c r="E56" s="6">
        <f t="shared" si="49"/>
        <v>19</v>
      </c>
      <c r="F56" s="6">
        <f>F53-25</f>
        <v>32</v>
      </c>
      <c r="G56" s="6">
        <f>G53-27.5</f>
        <v>33.5</v>
      </c>
      <c r="H56" s="6">
        <f>H53-28.5</f>
        <v>36.5</v>
      </c>
      <c r="I56" s="6">
        <f>I53-29</f>
        <v>40</v>
      </c>
      <c r="J56" s="6">
        <f>J53-30</f>
        <v>43</v>
      </c>
      <c r="K56" s="6">
        <f>K53-31</f>
        <v>48</v>
      </c>
      <c r="L56" s="6">
        <f>L53-32</f>
        <v>55</v>
      </c>
      <c r="M56" s="6">
        <f>M53-33</f>
        <v>62</v>
      </c>
    </row>
    <row r="59" spans="1:13" ht="15.75" thickBot="1" x14ac:dyDescent="0.3">
      <c r="A59" s="1" t="s">
        <v>27</v>
      </c>
    </row>
    <row r="60" spans="1:13" ht="15.75" thickBot="1" x14ac:dyDescent="0.3">
      <c r="A60" s="2" t="s">
        <v>1</v>
      </c>
      <c r="B60" s="3" t="s">
        <v>15</v>
      </c>
      <c r="C60" s="3" t="s">
        <v>16</v>
      </c>
      <c r="D60" s="3" t="s">
        <v>17</v>
      </c>
      <c r="E60" s="3" t="s">
        <v>18</v>
      </c>
      <c r="F60" s="3" t="s">
        <v>2</v>
      </c>
      <c r="G60" s="3" t="s">
        <v>3</v>
      </c>
      <c r="H60" s="3" t="s">
        <v>4</v>
      </c>
      <c r="I60" s="3" t="s">
        <v>5</v>
      </c>
      <c r="J60" s="3" t="s">
        <v>6</v>
      </c>
      <c r="K60" s="3" t="s">
        <v>7</v>
      </c>
      <c r="L60" s="3" t="s">
        <v>8</v>
      </c>
      <c r="M60" s="4" t="s">
        <v>9</v>
      </c>
    </row>
    <row r="61" spans="1:13" x14ac:dyDescent="0.25">
      <c r="A61" s="5" t="s">
        <v>10</v>
      </c>
      <c r="B61" s="6">
        <v>21</v>
      </c>
      <c r="C61" s="6">
        <v>22</v>
      </c>
      <c r="D61" s="6">
        <v>23</v>
      </c>
      <c r="E61" s="6">
        <v>24</v>
      </c>
      <c r="F61" s="6">
        <f t="shared" ref="F61:G61" si="50">G61-2</f>
        <v>26</v>
      </c>
      <c r="G61" s="6">
        <f t="shared" si="50"/>
        <v>28</v>
      </c>
      <c r="H61" s="6">
        <f>I61-2</f>
        <v>30</v>
      </c>
      <c r="I61" s="6">
        <v>32</v>
      </c>
      <c r="J61" s="6">
        <f>I61+4</f>
        <v>36</v>
      </c>
      <c r="K61" s="6">
        <f>J61+6</f>
        <v>42</v>
      </c>
      <c r="L61" s="6">
        <f t="shared" ref="L61:M61" si="51">K61+8</f>
        <v>50</v>
      </c>
      <c r="M61" s="6">
        <f t="shared" si="51"/>
        <v>58</v>
      </c>
    </row>
    <row r="62" spans="1:13" x14ac:dyDescent="0.25">
      <c r="A62" s="7" t="s">
        <v>11</v>
      </c>
      <c r="B62" s="6">
        <f t="shared" ref="B62:C62" si="52">C62-1</f>
        <v>20</v>
      </c>
      <c r="C62" s="6">
        <f t="shared" si="52"/>
        <v>21</v>
      </c>
      <c r="D62" s="6">
        <f>E62-1</f>
        <v>22</v>
      </c>
      <c r="E62" s="6">
        <f t="shared" ref="E62:F62" si="53">F62-2</f>
        <v>23</v>
      </c>
      <c r="F62" s="6">
        <f t="shared" si="53"/>
        <v>25</v>
      </c>
      <c r="G62" s="6">
        <f>H62-1</f>
        <v>27</v>
      </c>
      <c r="H62" s="6">
        <f>I62-1</f>
        <v>28</v>
      </c>
      <c r="I62" s="6">
        <v>29</v>
      </c>
      <c r="J62" s="6">
        <f>I62+2</f>
        <v>31</v>
      </c>
      <c r="K62" s="6">
        <f t="shared" ref="K62:M62" si="54">J62+2</f>
        <v>33</v>
      </c>
      <c r="L62" s="6">
        <f t="shared" si="54"/>
        <v>35</v>
      </c>
      <c r="M62" s="6">
        <f t="shared" si="54"/>
        <v>37</v>
      </c>
    </row>
    <row r="63" spans="1:13" x14ac:dyDescent="0.25">
      <c r="A63" s="7" t="s">
        <v>12</v>
      </c>
      <c r="B63" s="6">
        <v>27</v>
      </c>
      <c r="C63" s="6">
        <v>28</v>
      </c>
      <c r="D63" s="6">
        <v>29</v>
      </c>
      <c r="E63" s="6">
        <v>30</v>
      </c>
      <c r="F63" s="6">
        <f>E63+2</f>
        <v>32</v>
      </c>
      <c r="G63" s="6">
        <f>F63+1</f>
        <v>33</v>
      </c>
      <c r="H63" s="6">
        <f t="shared" ref="H63:M63" si="55">G63+1</f>
        <v>34</v>
      </c>
      <c r="I63" s="6">
        <f t="shared" si="55"/>
        <v>35</v>
      </c>
      <c r="J63" s="6">
        <f t="shared" si="55"/>
        <v>36</v>
      </c>
      <c r="K63" s="6">
        <f t="shared" si="55"/>
        <v>37</v>
      </c>
      <c r="L63" s="6">
        <f t="shared" si="55"/>
        <v>38</v>
      </c>
      <c r="M63" s="6">
        <f t="shared" si="55"/>
        <v>39</v>
      </c>
    </row>
    <row r="64" spans="1:13" x14ac:dyDescent="0.25">
      <c r="A64" s="7" t="s">
        <v>25</v>
      </c>
      <c r="B64" s="6">
        <v>3</v>
      </c>
      <c r="C64" s="6">
        <f>B64+0.5</f>
        <v>3.5</v>
      </c>
      <c r="D64" s="6">
        <f t="shared" ref="D64:E64" si="56">C64+0.5</f>
        <v>4</v>
      </c>
      <c r="E64" s="6">
        <f t="shared" si="56"/>
        <v>4.5</v>
      </c>
      <c r="F64" s="6">
        <v>6</v>
      </c>
      <c r="G64" s="6">
        <v>7</v>
      </c>
      <c r="H64" s="6">
        <v>7.5</v>
      </c>
      <c r="I64" s="6">
        <f>I61-24</f>
        <v>8</v>
      </c>
      <c r="J64" s="6">
        <f t="shared" ref="J64:M64" si="57">I64+0.5</f>
        <v>8.5</v>
      </c>
      <c r="K64" s="6">
        <f t="shared" si="57"/>
        <v>9</v>
      </c>
      <c r="L64" s="6">
        <f t="shared" si="57"/>
        <v>9.5</v>
      </c>
      <c r="M64" s="6">
        <f t="shared" si="57"/>
        <v>10</v>
      </c>
    </row>
    <row r="66" spans="1:14" x14ac:dyDescent="0.25">
      <c r="A66" s="10" t="s">
        <v>33</v>
      </c>
    </row>
    <row r="67" spans="1:14" x14ac:dyDescent="0.25">
      <c r="A67" s="6" t="s">
        <v>1</v>
      </c>
      <c r="B67" s="6" t="s">
        <v>29</v>
      </c>
      <c r="C67" s="6" t="s">
        <v>15</v>
      </c>
      <c r="D67" s="6" t="s">
        <v>16</v>
      </c>
      <c r="E67" s="6" t="s">
        <v>17</v>
      </c>
      <c r="F67" s="6" t="s">
        <v>18</v>
      </c>
      <c r="G67" s="6" t="s">
        <v>2</v>
      </c>
      <c r="H67" s="6" t="s">
        <v>3</v>
      </c>
      <c r="I67" s="6" t="s">
        <v>4</v>
      </c>
      <c r="J67" s="6" t="s">
        <v>5</v>
      </c>
      <c r="K67" s="6" t="s">
        <v>6</v>
      </c>
      <c r="L67" s="6" t="s">
        <v>7</v>
      </c>
      <c r="M67" s="6" t="s">
        <v>8</v>
      </c>
      <c r="N67" s="6" t="s">
        <v>9</v>
      </c>
    </row>
    <row r="68" spans="1:14" x14ac:dyDescent="0.25">
      <c r="A68" s="6" t="s">
        <v>30</v>
      </c>
      <c r="B68" s="6">
        <v>24</v>
      </c>
      <c r="C68" s="6">
        <v>26</v>
      </c>
      <c r="D68" s="6">
        <v>28</v>
      </c>
      <c r="E68" s="6">
        <v>28</v>
      </c>
      <c r="F68" s="6">
        <v>30</v>
      </c>
      <c r="G68" s="6">
        <v>36</v>
      </c>
      <c r="H68" s="6">
        <v>38</v>
      </c>
      <c r="I68" s="6">
        <v>40</v>
      </c>
      <c r="J68" s="6">
        <v>42</v>
      </c>
      <c r="K68" s="6">
        <v>44</v>
      </c>
      <c r="L68" s="6">
        <v>48</v>
      </c>
      <c r="M68" s="6">
        <v>52</v>
      </c>
      <c r="N68" s="6">
        <v>56</v>
      </c>
    </row>
    <row r="69" spans="1:14" x14ac:dyDescent="0.25">
      <c r="A69" s="6" t="s">
        <v>31</v>
      </c>
      <c r="B69" s="6">
        <v>15</v>
      </c>
      <c r="C69" s="6">
        <v>17</v>
      </c>
      <c r="D69" s="6">
        <v>19</v>
      </c>
      <c r="E69" s="6">
        <v>21</v>
      </c>
      <c r="F69" s="6">
        <v>23</v>
      </c>
      <c r="G69" s="6">
        <v>26</v>
      </c>
      <c r="H69" s="6">
        <v>28</v>
      </c>
      <c r="I69" s="6">
        <v>30</v>
      </c>
      <c r="J69" s="6">
        <v>32</v>
      </c>
      <c r="K69" s="6">
        <v>35</v>
      </c>
      <c r="L69" s="6">
        <v>38</v>
      </c>
      <c r="M69" s="6">
        <v>41</v>
      </c>
      <c r="N69" s="6">
        <v>44</v>
      </c>
    </row>
    <row r="70" spans="1:14" x14ac:dyDescent="0.25">
      <c r="A70" s="6" t="s">
        <v>32</v>
      </c>
      <c r="B70" s="6">
        <v>9</v>
      </c>
      <c r="C70" s="6">
        <v>9.5</v>
      </c>
      <c r="D70" s="6">
        <v>10</v>
      </c>
      <c r="E70" s="6">
        <v>10.5</v>
      </c>
      <c r="F70" s="6">
        <v>11</v>
      </c>
      <c r="G70" s="6">
        <v>12.5</v>
      </c>
      <c r="H70" s="6">
        <v>13</v>
      </c>
      <c r="I70" s="6">
        <v>13.5</v>
      </c>
      <c r="J70" s="6">
        <v>14</v>
      </c>
      <c r="K70" s="6">
        <v>14.5</v>
      </c>
      <c r="L70" s="6">
        <v>15</v>
      </c>
      <c r="M70" s="6">
        <v>15.5</v>
      </c>
      <c r="N70" s="6">
        <v>16</v>
      </c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Boys Apparel 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17</dc:creator>
  <cp:lastModifiedBy>IT 17</cp:lastModifiedBy>
  <dcterms:created xsi:type="dcterms:W3CDTF">2026-06-16T13:35:05Z</dcterms:created>
  <dcterms:modified xsi:type="dcterms:W3CDTF">2026-06-16T13:43:41Z</dcterms:modified>
</cp:coreProperties>
</file>