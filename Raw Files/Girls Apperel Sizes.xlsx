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nn\Downloads\"/>
    </mc:Choice>
  </mc:AlternateContent>
  <xr:revisionPtr revIDLastSave="0" documentId="13_ncr:1_{5884D01C-CDA6-443F-A376-8B2DFCEFFFA8}" xr6:coauthVersionLast="47" xr6:coauthVersionMax="47" xr10:uidLastSave="{00000000-0000-0000-0000-000000000000}"/>
  <bookViews>
    <workbookView xWindow="-120" yWindow="-120" windowWidth="20730" windowHeight="11760" xr2:uid="{F9EFF802-9AE2-4977-AF3B-556532FF10F0}"/>
  </bookViews>
  <sheets>
    <sheet name="Girls Apparel Siz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0" i="1" l="1"/>
  <c r="E120" i="1" s="1"/>
  <c r="D120" i="1" s="1"/>
  <c r="C120" i="1" s="1"/>
  <c r="B120" i="1" s="1"/>
  <c r="H119" i="1"/>
  <c r="G119" i="1"/>
  <c r="F119" i="1" s="1"/>
  <c r="E119" i="1" s="1"/>
  <c r="D119" i="1" s="1"/>
  <c r="C119" i="1" s="1"/>
  <c r="B119" i="1" s="1"/>
  <c r="J118" i="1"/>
  <c r="K118" i="1" s="1"/>
  <c r="L118" i="1" s="1"/>
  <c r="M118" i="1" s="1"/>
  <c r="H118" i="1"/>
  <c r="G118" i="1" s="1"/>
  <c r="F118" i="1" s="1"/>
  <c r="E118" i="1" s="1"/>
  <c r="D118" i="1" s="1"/>
  <c r="C118" i="1" s="1"/>
  <c r="B118" i="1" s="1"/>
  <c r="J117" i="1"/>
  <c r="K117" i="1" s="1"/>
  <c r="L117" i="1" s="1"/>
  <c r="M117" i="1" s="1"/>
  <c r="H117" i="1"/>
  <c r="G117" i="1" s="1"/>
  <c r="F117" i="1" s="1"/>
  <c r="E117" i="1" s="1"/>
  <c r="D117" i="1" s="1"/>
  <c r="C117" i="1" s="1"/>
  <c r="B117" i="1" s="1"/>
  <c r="J113" i="1"/>
  <c r="K113" i="1" s="1"/>
  <c r="L113" i="1" s="1"/>
  <c r="M113" i="1" s="1"/>
  <c r="H113" i="1"/>
  <c r="G113" i="1"/>
  <c r="F113" i="1" s="1"/>
  <c r="C113" i="1"/>
  <c r="D113" i="1" s="1"/>
  <c r="E113" i="1" s="1"/>
  <c r="I112" i="1"/>
  <c r="J111" i="1"/>
  <c r="J112" i="1" s="1"/>
  <c r="H111" i="1"/>
  <c r="G111" i="1" s="1"/>
  <c r="J110" i="1"/>
  <c r="K110" i="1" s="1"/>
  <c r="L110" i="1" s="1"/>
  <c r="M110" i="1" s="1"/>
  <c r="H110" i="1"/>
  <c r="G110" i="1" s="1"/>
  <c r="F110" i="1" s="1"/>
  <c r="E110" i="1" s="1"/>
  <c r="D110" i="1" s="1"/>
  <c r="C110" i="1" s="1"/>
  <c r="B110" i="1" s="1"/>
  <c r="J105" i="1"/>
  <c r="K105" i="1" s="1"/>
  <c r="L105" i="1" s="1"/>
  <c r="M105" i="1" s="1"/>
  <c r="H105" i="1"/>
  <c r="G105" i="1" s="1"/>
  <c r="F105" i="1" s="1"/>
  <c r="C105" i="1"/>
  <c r="D105" i="1" s="1"/>
  <c r="E105" i="1" s="1"/>
  <c r="B104" i="1"/>
  <c r="C103" i="1"/>
  <c r="C104" i="1" s="1"/>
  <c r="J102" i="1"/>
  <c r="K102" i="1" s="1"/>
  <c r="L102" i="1" s="1"/>
  <c r="M102" i="1" s="1"/>
  <c r="H102" i="1"/>
  <c r="G102" i="1" s="1"/>
  <c r="F102" i="1" s="1"/>
  <c r="E102" i="1" s="1"/>
  <c r="D102" i="1" s="1"/>
  <c r="C102" i="1" s="1"/>
  <c r="B102" i="1" s="1"/>
  <c r="F97" i="1"/>
  <c r="G97" i="1" s="1"/>
  <c r="H97" i="1" s="1"/>
  <c r="I97" i="1" s="1"/>
  <c r="J97" i="1" s="1"/>
  <c r="K97" i="1" s="1"/>
  <c r="L97" i="1" s="1"/>
  <c r="M97" i="1" s="1"/>
  <c r="J96" i="1"/>
  <c r="K96" i="1" s="1"/>
  <c r="L96" i="1" s="1"/>
  <c r="M96" i="1" s="1"/>
  <c r="H96" i="1"/>
  <c r="G96" i="1" s="1"/>
  <c r="F96" i="1" s="1"/>
  <c r="E96" i="1" s="1"/>
  <c r="D96" i="1" s="1"/>
  <c r="C96" i="1" s="1"/>
  <c r="B96" i="1" s="1"/>
  <c r="K95" i="1"/>
  <c r="L95" i="1" s="1"/>
  <c r="M95" i="1" s="1"/>
  <c r="H95" i="1"/>
  <c r="G95" i="1"/>
  <c r="F95" i="1" s="1"/>
  <c r="C95" i="1"/>
  <c r="D95" i="1" s="1"/>
  <c r="E95" i="1" s="1"/>
  <c r="I90" i="1"/>
  <c r="C90" i="1"/>
  <c r="D90" i="1" s="1"/>
  <c r="E90" i="1" s="1"/>
  <c r="F89" i="1"/>
  <c r="G89" i="1" s="1"/>
  <c r="H89" i="1" s="1"/>
  <c r="I89" i="1" s="1"/>
  <c r="J89" i="1" s="1"/>
  <c r="K89" i="1" s="1"/>
  <c r="L89" i="1" s="1"/>
  <c r="M89" i="1" s="1"/>
  <c r="J88" i="1"/>
  <c r="K88" i="1" s="1"/>
  <c r="L88" i="1" s="1"/>
  <c r="M88" i="1" s="1"/>
  <c r="H88" i="1"/>
  <c r="G88" i="1"/>
  <c r="F88" i="1" s="1"/>
  <c r="E88" i="1" s="1"/>
  <c r="D88" i="1" s="1"/>
  <c r="C88" i="1" s="1"/>
  <c r="B88" i="1" s="1"/>
  <c r="K87" i="1"/>
  <c r="L87" i="1" s="1"/>
  <c r="M87" i="1" s="1"/>
  <c r="H87" i="1"/>
  <c r="G87" i="1" s="1"/>
  <c r="F87" i="1" s="1"/>
  <c r="C87" i="1"/>
  <c r="D87" i="1" s="1"/>
  <c r="E87" i="1" s="1"/>
  <c r="I82" i="1"/>
  <c r="B82" i="1"/>
  <c r="C82" i="1" s="1"/>
  <c r="D82" i="1" s="1"/>
  <c r="E82" i="1" s="1"/>
  <c r="F81" i="1"/>
  <c r="G81" i="1" s="1"/>
  <c r="H81" i="1" s="1"/>
  <c r="I81" i="1" s="1"/>
  <c r="J81" i="1" s="1"/>
  <c r="K81" i="1" s="1"/>
  <c r="L81" i="1" s="1"/>
  <c r="M81" i="1" s="1"/>
  <c r="J80" i="1"/>
  <c r="K80" i="1" s="1"/>
  <c r="L80" i="1" s="1"/>
  <c r="M80" i="1" s="1"/>
  <c r="H80" i="1"/>
  <c r="G80" i="1" s="1"/>
  <c r="F80" i="1" s="1"/>
  <c r="J79" i="1"/>
  <c r="K79" i="1" s="1"/>
  <c r="H79" i="1"/>
  <c r="H82" i="1" s="1"/>
  <c r="C79" i="1"/>
  <c r="D79" i="1" s="1"/>
  <c r="E79" i="1" s="1"/>
  <c r="I74" i="1"/>
  <c r="B74" i="1"/>
  <c r="C74" i="1" s="1"/>
  <c r="D74" i="1" s="1"/>
  <c r="E74" i="1" s="1"/>
  <c r="F73" i="1"/>
  <c r="G73" i="1" s="1"/>
  <c r="H73" i="1" s="1"/>
  <c r="I73" i="1" s="1"/>
  <c r="J73" i="1" s="1"/>
  <c r="K73" i="1" s="1"/>
  <c r="L73" i="1" s="1"/>
  <c r="M73" i="1" s="1"/>
  <c r="J72" i="1"/>
  <c r="K72" i="1" s="1"/>
  <c r="L72" i="1" s="1"/>
  <c r="M72" i="1" s="1"/>
  <c r="H72" i="1"/>
  <c r="G72" i="1" s="1"/>
  <c r="F72" i="1" s="1"/>
  <c r="J71" i="1"/>
  <c r="J74" i="1" s="1"/>
  <c r="H71" i="1"/>
  <c r="G71" i="1" s="1"/>
  <c r="C71" i="1"/>
  <c r="D71" i="1" s="1"/>
  <c r="E71" i="1" s="1"/>
  <c r="J66" i="1"/>
  <c r="K66" i="1" s="1"/>
  <c r="L66" i="1" s="1"/>
  <c r="M66" i="1" s="1"/>
  <c r="H66" i="1"/>
  <c r="G66" i="1"/>
  <c r="F66" i="1"/>
  <c r="C66" i="1"/>
  <c r="D66" i="1" s="1"/>
  <c r="E66" i="1" s="1"/>
  <c r="B65" i="1"/>
  <c r="C64" i="1"/>
  <c r="D64" i="1" s="1"/>
  <c r="D65" i="1" s="1"/>
  <c r="J63" i="1"/>
  <c r="K63" i="1" s="1"/>
  <c r="L63" i="1" s="1"/>
  <c r="M63" i="1" s="1"/>
  <c r="H63" i="1"/>
  <c r="G63" i="1"/>
  <c r="F63" i="1"/>
  <c r="E63" i="1" s="1"/>
  <c r="D63" i="1" s="1"/>
  <c r="C63" i="1" s="1"/>
  <c r="B63" i="1" s="1"/>
  <c r="E58" i="1"/>
  <c r="D58" i="1" s="1"/>
  <c r="C58" i="1" s="1"/>
  <c r="B58" i="1" s="1"/>
  <c r="F57" i="1"/>
  <c r="G57" i="1" s="1"/>
  <c r="H57" i="1" s="1"/>
  <c r="I57" i="1" s="1"/>
  <c r="D57" i="1"/>
  <c r="C57" i="1" s="1"/>
  <c r="B57" i="1" s="1"/>
  <c r="E56" i="1"/>
  <c r="D56" i="1"/>
  <c r="F55" i="1"/>
  <c r="G55" i="1" s="1"/>
  <c r="C55" i="1"/>
  <c r="C56" i="1" s="1"/>
  <c r="B55" i="1"/>
  <c r="B56" i="1" s="1"/>
  <c r="G54" i="1"/>
  <c r="H54" i="1" s="1"/>
  <c r="I54" i="1" s="1"/>
  <c r="D54" i="1"/>
  <c r="C54" i="1" s="1"/>
  <c r="B54" i="1" s="1"/>
  <c r="H49" i="1"/>
  <c r="G49" i="1" s="1"/>
  <c r="F49" i="1" s="1"/>
  <c r="C49" i="1"/>
  <c r="D49" i="1" s="1"/>
  <c r="E49" i="1" s="1"/>
  <c r="I48" i="1"/>
  <c r="B48" i="1"/>
  <c r="J47" i="1"/>
  <c r="K47" i="1" s="1"/>
  <c r="L47" i="1" s="1"/>
  <c r="H47" i="1"/>
  <c r="H48" i="1" s="1"/>
  <c r="G47" i="1"/>
  <c r="G48" i="1" s="1"/>
  <c r="C47" i="1"/>
  <c r="C48" i="1" s="1"/>
  <c r="K46" i="1"/>
  <c r="L46" i="1" s="1"/>
  <c r="M46" i="1" s="1"/>
  <c r="H46" i="1"/>
  <c r="G46" i="1" s="1"/>
  <c r="F46" i="1" s="1"/>
  <c r="C46" i="1"/>
  <c r="D46" i="1" s="1"/>
  <c r="E46" i="1" s="1"/>
  <c r="I41" i="1"/>
  <c r="J41" i="1" s="1"/>
  <c r="K41" i="1" s="1"/>
  <c r="L41" i="1" s="1"/>
  <c r="M41" i="1" s="1"/>
  <c r="J40" i="1"/>
  <c r="K40" i="1" s="1"/>
  <c r="L40" i="1" s="1"/>
  <c r="M40" i="1" s="1"/>
  <c r="H40" i="1"/>
  <c r="G40" i="1" s="1"/>
  <c r="F40" i="1" s="1"/>
  <c r="C40" i="1"/>
  <c r="D40" i="1" s="1"/>
  <c r="E40" i="1" s="1"/>
  <c r="I39" i="1"/>
  <c r="H39" i="1"/>
  <c r="B39" i="1"/>
  <c r="J38" i="1"/>
  <c r="J39" i="1" s="1"/>
  <c r="G38" i="1"/>
  <c r="G39" i="1" s="1"/>
  <c r="C38" i="1"/>
  <c r="D38" i="1" s="1"/>
  <c r="E38" i="1" s="1"/>
  <c r="E39" i="1" s="1"/>
  <c r="K37" i="1"/>
  <c r="L37" i="1" s="1"/>
  <c r="M37" i="1" s="1"/>
  <c r="H37" i="1"/>
  <c r="G37" i="1" s="1"/>
  <c r="F37" i="1" s="1"/>
  <c r="J32" i="1"/>
  <c r="K32" i="1" s="1"/>
  <c r="L32" i="1" s="1"/>
  <c r="M32" i="1" s="1"/>
  <c r="H32" i="1"/>
  <c r="G32" i="1"/>
  <c r="F32" i="1"/>
  <c r="C32" i="1"/>
  <c r="D32" i="1" s="1"/>
  <c r="E32" i="1" s="1"/>
  <c r="I31" i="1"/>
  <c r="H31" i="1"/>
  <c r="B31" i="1"/>
  <c r="J30" i="1"/>
  <c r="K30" i="1" s="1"/>
  <c r="G30" i="1"/>
  <c r="F30" i="1" s="1"/>
  <c r="F31" i="1" s="1"/>
  <c r="C30" i="1"/>
  <c r="C31" i="1" s="1"/>
  <c r="K29" i="1"/>
  <c r="L29" i="1" s="1"/>
  <c r="M29" i="1" s="1"/>
  <c r="H29" i="1"/>
  <c r="G29" i="1" s="1"/>
  <c r="F29" i="1" s="1"/>
  <c r="C29" i="1"/>
  <c r="D29" i="1" s="1"/>
  <c r="E29" i="1" s="1"/>
  <c r="J24" i="1"/>
  <c r="K24" i="1" s="1"/>
  <c r="L24" i="1" s="1"/>
  <c r="M24" i="1" s="1"/>
  <c r="H24" i="1"/>
  <c r="G24" i="1" s="1"/>
  <c r="F24" i="1" s="1"/>
  <c r="C24" i="1"/>
  <c r="D24" i="1" s="1"/>
  <c r="E24" i="1" s="1"/>
  <c r="I23" i="1"/>
  <c r="H23" i="1"/>
  <c r="G23" i="1"/>
  <c r="B23" i="1"/>
  <c r="J22" i="1"/>
  <c r="J23" i="1" s="1"/>
  <c r="G22" i="1"/>
  <c r="F22" i="1" s="1"/>
  <c r="F23" i="1" s="1"/>
  <c r="C22" i="1"/>
  <c r="D22" i="1" s="1"/>
  <c r="I21" i="1"/>
  <c r="J21" i="1" s="1"/>
  <c r="K21" i="1" s="1"/>
  <c r="L21" i="1" s="1"/>
  <c r="M21" i="1" s="1"/>
  <c r="G21" i="1"/>
  <c r="F21" i="1" s="1"/>
  <c r="C21" i="1"/>
  <c r="D21" i="1" s="1"/>
  <c r="J16" i="1"/>
  <c r="K16" i="1" s="1"/>
  <c r="L16" i="1" s="1"/>
  <c r="M16" i="1" s="1"/>
  <c r="H16" i="1"/>
  <c r="G16" i="1" s="1"/>
  <c r="F16" i="1" s="1"/>
  <c r="C16" i="1"/>
  <c r="D16" i="1" s="1"/>
  <c r="E16" i="1" s="1"/>
  <c r="I15" i="1"/>
  <c r="B15" i="1"/>
  <c r="J14" i="1"/>
  <c r="K14" i="1" s="1"/>
  <c r="H14" i="1"/>
  <c r="G14" i="1" s="1"/>
  <c r="G15" i="1" s="1"/>
  <c r="C14" i="1"/>
  <c r="C15" i="1" s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J8" i="1"/>
  <c r="K8" i="1" s="1"/>
  <c r="L8" i="1" s="1"/>
  <c r="M8" i="1" s="1"/>
  <c r="H8" i="1"/>
  <c r="G8" i="1" s="1"/>
  <c r="F8" i="1" s="1"/>
  <c r="C8" i="1"/>
  <c r="D8" i="1" s="1"/>
  <c r="E8" i="1" s="1"/>
  <c r="I7" i="1"/>
  <c r="B7" i="1"/>
  <c r="J6" i="1"/>
  <c r="J7" i="1" s="1"/>
  <c r="H6" i="1"/>
  <c r="G6" i="1" s="1"/>
  <c r="C6" i="1"/>
  <c r="D6" i="1" s="1"/>
  <c r="C5" i="1"/>
  <c r="D5" i="1" s="1"/>
  <c r="E5" i="1" s="1"/>
  <c r="F5" i="1" s="1"/>
  <c r="G5" i="1" s="1"/>
  <c r="H5" i="1" s="1"/>
  <c r="I5" i="1" s="1"/>
  <c r="J5" i="1" s="1"/>
  <c r="K5" i="1" s="1"/>
  <c r="L5" i="1" s="1"/>
  <c r="M5" i="1" s="1"/>
  <c r="K6" i="1" l="1"/>
  <c r="K7" i="1" s="1"/>
  <c r="F47" i="1"/>
  <c r="F48" i="1" s="1"/>
  <c r="C7" i="1"/>
  <c r="J48" i="1"/>
  <c r="C23" i="1"/>
  <c r="C65" i="1"/>
  <c r="G79" i="1"/>
  <c r="F79" i="1" s="1"/>
  <c r="F82" i="1" s="1"/>
  <c r="D103" i="1"/>
  <c r="E103" i="1" s="1"/>
  <c r="F103" i="1" s="1"/>
  <c r="H15" i="1"/>
  <c r="K38" i="1"/>
  <c r="K39" i="1" s="1"/>
  <c r="J15" i="1"/>
  <c r="C39" i="1"/>
  <c r="K111" i="1"/>
  <c r="K112" i="1" s="1"/>
  <c r="G31" i="1"/>
  <c r="G112" i="1"/>
  <c r="F111" i="1"/>
  <c r="H112" i="1"/>
  <c r="E104" i="1"/>
  <c r="K82" i="1"/>
  <c r="L79" i="1"/>
  <c r="J82" i="1"/>
  <c r="F71" i="1"/>
  <c r="F74" i="1" s="1"/>
  <c r="G74" i="1"/>
  <c r="K71" i="1"/>
  <c r="H74" i="1"/>
  <c r="E64" i="1"/>
  <c r="H55" i="1"/>
  <c r="G56" i="1"/>
  <c r="F58" i="1"/>
  <c r="G58" i="1" s="1"/>
  <c r="H58" i="1" s="1"/>
  <c r="I58" i="1" s="1"/>
  <c r="F56" i="1"/>
  <c r="H41" i="1"/>
  <c r="G41" i="1" s="1"/>
  <c r="F41" i="1" s="1"/>
  <c r="L48" i="1"/>
  <c r="M47" i="1"/>
  <c r="M48" i="1" s="1"/>
  <c r="D47" i="1"/>
  <c r="K48" i="1"/>
  <c r="F38" i="1"/>
  <c r="F39" i="1" s="1"/>
  <c r="D39" i="1"/>
  <c r="L30" i="1"/>
  <c r="K31" i="1"/>
  <c r="D30" i="1"/>
  <c r="J31" i="1"/>
  <c r="D23" i="1"/>
  <c r="E22" i="1"/>
  <c r="E23" i="1" s="1"/>
  <c r="K22" i="1"/>
  <c r="K15" i="1"/>
  <c r="L14" i="1"/>
  <c r="D14" i="1"/>
  <c r="F14" i="1"/>
  <c r="F15" i="1" s="1"/>
  <c r="D7" i="1"/>
  <c r="E6" i="1"/>
  <c r="E7" i="1" s="1"/>
  <c r="F6" i="1"/>
  <c r="F7" i="1" s="1"/>
  <c r="G7" i="1"/>
  <c r="H7" i="1"/>
  <c r="L6" i="1" l="1"/>
  <c r="L38" i="1"/>
  <c r="L39" i="1" s="1"/>
  <c r="G82" i="1"/>
  <c r="D104" i="1"/>
  <c r="L111" i="1"/>
  <c r="L112" i="1" s="1"/>
  <c r="F112" i="1"/>
  <c r="E111" i="1"/>
  <c r="F104" i="1"/>
  <c r="G103" i="1"/>
  <c r="L82" i="1"/>
  <c r="M79" i="1"/>
  <c r="M82" i="1" s="1"/>
  <c r="K74" i="1"/>
  <c r="L71" i="1"/>
  <c r="F64" i="1"/>
  <c r="E65" i="1"/>
  <c r="I55" i="1"/>
  <c r="I56" i="1" s="1"/>
  <c r="H56" i="1"/>
  <c r="D48" i="1"/>
  <c r="E47" i="1"/>
  <c r="E48" i="1" s="1"/>
  <c r="D31" i="1"/>
  <c r="E30" i="1"/>
  <c r="E31" i="1" s="1"/>
  <c r="L31" i="1"/>
  <c r="M30" i="1"/>
  <c r="M31" i="1" s="1"/>
  <c r="K23" i="1"/>
  <c r="L22" i="1"/>
  <c r="D15" i="1"/>
  <c r="E14" i="1"/>
  <c r="E15" i="1" s="1"/>
  <c r="L15" i="1"/>
  <c r="M14" i="1"/>
  <c r="M15" i="1" s="1"/>
  <c r="L7" i="1"/>
  <c r="M6" i="1"/>
  <c r="M7" i="1" s="1"/>
  <c r="M111" i="1" l="1"/>
  <c r="M112" i="1" s="1"/>
  <c r="M38" i="1"/>
  <c r="M39" i="1" s="1"/>
  <c r="E112" i="1"/>
  <c r="D111" i="1"/>
  <c r="G104" i="1"/>
  <c r="H103" i="1"/>
  <c r="M71" i="1"/>
  <c r="M74" i="1" s="1"/>
  <c r="L74" i="1"/>
  <c r="G64" i="1"/>
  <c r="F65" i="1"/>
  <c r="L23" i="1"/>
  <c r="M22" i="1"/>
  <c r="M23" i="1" s="1"/>
  <c r="D112" i="1" l="1"/>
  <c r="C111" i="1"/>
  <c r="H104" i="1"/>
  <c r="I103" i="1"/>
  <c r="G65" i="1"/>
  <c r="H64" i="1"/>
  <c r="C112" i="1" l="1"/>
  <c r="B111" i="1"/>
  <c r="B112" i="1" s="1"/>
  <c r="J103" i="1"/>
  <c r="I104" i="1"/>
  <c r="I64" i="1"/>
  <c r="H65" i="1"/>
  <c r="K103" i="1" l="1"/>
  <c r="J104" i="1"/>
  <c r="J64" i="1"/>
  <c r="I65" i="1"/>
  <c r="K104" i="1" l="1"/>
  <c r="L103" i="1"/>
  <c r="K64" i="1"/>
  <c r="J65" i="1"/>
  <c r="L104" i="1" l="1"/>
  <c r="M103" i="1"/>
  <c r="M104" i="1" s="1"/>
  <c r="K65" i="1"/>
  <c r="L64" i="1"/>
  <c r="M64" i="1" l="1"/>
  <c r="M65" i="1" s="1"/>
  <c r="L65" i="1"/>
</calcChain>
</file>

<file path=xl/sharedStrings.xml><?xml version="1.0" encoding="utf-8"?>
<sst xmlns="http://schemas.openxmlformats.org/spreadsheetml/2006/main" count="286" uniqueCount="46">
  <si>
    <t>GIRLS  TOP</t>
  </si>
  <si>
    <t>POM IN CM</t>
  </si>
  <si>
    <t>0-6M</t>
  </si>
  <si>
    <t>6-12M</t>
  </si>
  <si>
    <t>12-18M</t>
  </si>
  <si>
    <t>18-24M</t>
  </si>
  <si>
    <t>2/3Y</t>
  </si>
  <si>
    <t>3/4Y</t>
  </si>
  <si>
    <t>4/5Y</t>
  </si>
  <si>
    <t>5/6Y</t>
  </si>
  <si>
    <t>7/8Y</t>
  </si>
  <si>
    <t>9/10Y</t>
  </si>
  <si>
    <t>11/12Y</t>
  </si>
  <si>
    <t>13/14Y</t>
  </si>
  <si>
    <t>TOTAL LENGTH</t>
  </si>
  <si>
    <t xml:space="preserve">HALF CHEST </t>
  </si>
  <si>
    <t xml:space="preserve">ACROSS SHOULDER </t>
  </si>
  <si>
    <t>FULL SLEEVE LENGTH</t>
  </si>
  <si>
    <t>GIRLS SHIRT</t>
  </si>
  <si>
    <t xml:space="preserve">GIRLS  T-SHIRT </t>
  </si>
  <si>
    <t>GIRLS  DRESS</t>
  </si>
  <si>
    <t>GIRLS FULL LENGTH DUNGAREE</t>
  </si>
  <si>
    <t>HALF CHEST</t>
  </si>
  <si>
    <t>INSEAM LENGTH</t>
  </si>
  <si>
    <t>DRESS LENGTH DUNGAREE</t>
  </si>
  <si>
    <t>HALF WAIST</t>
  </si>
  <si>
    <t>GIRLS  JUMPSUIT</t>
  </si>
  <si>
    <t xml:space="preserve">GIRLS SWEATSHIRT </t>
  </si>
  <si>
    <t xml:space="preserve">HALF WAIST </t>
  </si>
  <si>
    <t>HIP WIDTH</t>
  </si>
  <si>
    <t>GIRLS JEANS / TROUSER</t>
  </si>
  <si>
    <t>GIRLS JAGGING</t>
  </si>
  <si>
    <t>GIRLS SHORTS</t>
  </si>
  <si>
    <t xml:space="preserve">GIRLS SKIRT </t>
  </si>
  <si>
    <t xml:space="preserve">GIRLS JACKET </t>
  </si>
  <si>
    <t>CLOTHING SET</t>
  </si>
  <si>
    <t>TOTAL LENGTH  (UPPER BODY WEAR)</t>
  </si>
  <si>
    <t xml:space="preserve">HALF CHEST  </t>
  </si>
  <si>
    <t>WAIST ( LOWER BODY WEAR )</t>
  </si>
  <si>
    <t>LENGTH (LOWER WEAR )</t>
  </si>
  <si>
    <t>Overall Sleeve Length</t>
  </si>
  <si>
    <t>NB</t>
  </si>
  <si>
    <t xml:space="preserve">Full sleeve length </t>
  </si>
  <si>
    <t>3/4 Sleeve length</t>
  </si>
  <si>
    <t>Half Sleeve length</t>
  </si>
  <si>
    <t>GIRLS APPAREL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</si>
</sst>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F128-E1E7-4DB4-9D17-1349DFE26ACB}">
  <dimension ref="A1:N127"/>
  <sheetViews>
    <sheetView tabSelected="1" workbookViewId="0">
      <selection activeCell="C2" sqref="C2"/>
    </sheetView>
  </sheetViews>
  <sheetFormatPr defaultRowHeight="15" x14ac:dyDescent="0.25"/>
  <cols>
    <col min="1" max="1" width="33.140625" bestFit="1" customWidth="1"/>
    <col min="6" max="6" width="7.28515625" bestFit="1" customWidth="1"/>
    <col min="7" max="7" width="11" customWidth="1"/>
  </cols>
  <sheetData>
    <row r="1" spans="1:13" ht="21" x14ac:dyDescent="0.35">
      <c r="E1" s="11" t="s">
        <v>45</v>
      </c>
      <c r="F1" s="11"/>
      <c r="G1" s="11"/>
    </row>
    <row r="3" spans="1:13" ht="15.75" thickBot="1" x14ac:dyDescent="0.3">
      <c r="A3" s="1" t="s">
        <v>0</v>
      </c>
    </row>
    <row r="4" spans="1:13" ht="15.75" thickBot="1" x14ac:dyDescent="0.3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4" t="s">
        <v>13</v>
      </c>
    </row>
    <row r="5" spans="1:13" x14ac:dyDescent="0.25">
      <c r="A5" s="5" t="s">
        <v>14</v>
      </c>
      <c r="B5" s="6">
        <v>33</v>
      </c>
      <c r="C5" s="6">
        <f>B5+1</f>
        <v>34</v>
      </c>
      <c r="D5" s="6">
        <f t="shared" ref="D5:E6" si="0">C5+1</f>
        <v>35</v>
      </c>
      <c r="E5" s="6">
        <f t="shared" si="0"/>
        <v>36</v>
      </c>
      <c r="F5" s="6">
        <f>E5+5</f>
        <v>41</v>
      </c>
      <c r="G5" s="6">
        <f>F5+2</f>
        <v>43</v>
      </c>
      <c r="H5" s="6">
        <f t="shared" ref="H5:M6" si="1">G5+2</f>
        <v>45</v>
      </c>
      <c r="I5" s="6">
        <f t="shared" si="1"/>
        <v>47</v>
      </c>
      <c r="J5" s="6">
        <f t="shared" si="1"/>
        <v>49</v>
      </c>
      <c r="K5" s="6">
        <f t="shared" si="1"/>
        <v>51</v>
      </c>
      <c r="L5" s="6">
        <f t="shared" si="1"/>
        <v>53</v>
      </c>
      <c r="M5" s="6">
        <f t="shared" si="1"/>
        <v>55</v>
      </c>
    </row>
    <row r="6" spans="1:13" x14ac:dyDescent="0.25">
      <c r="A6" s="7" t="s">
        <v>15</v>
      </c>
      <c r="B6" s="6">
        <v>27</v>
      </c>
      <c r="C6" s="6">
        <f>B6+1</f>
        <v>28</v>
      </c>
      <c r="D6" s="6">
        <f t="shared" si="0"/>
        <v>29</v>
      </c>
      <c r="E6" s="6">
        <f t="shared" si="0"/>
        <v>30</v>
      </c>
      <c r="F6" s="6">
        <f t="shared" ref="F6:G6" si="2">G6-1</f>
        <v>35</v>
      </c>
      <c r="G6" s="6">
        <f t="shared" si="2"/>
        <v>36</v>
      </c>
      <c r="H6" s="6">
        <f>I6-1</f>
        <v>37</v>
      </c>
      <c r="I6" s="6">
        <v>38</v>
      </c>
      <c r="J6" s="6">
        <f>I6+2</f>
        <v>40</v>
      </c>
      <c r="K6" s="6">
        <f t="shared" si="1"/>
        <v>42</v>
      </c>
      <c r="L6" s="6">
        <f t="shared" si="1"/>
        <v>44</v>
      </c>
      <c r="M6" s="6">
        <f t="shared" si="1"/>
        <v>46</v>
      </c>
    </row>
    <row r="7" spans="1:13" x14ac:dyDescent="0.25">
      <c r="A7" s="7" t="s">
        <v>16</v>
      </c>
      <c r="B7" s="6">
        <f>B6-7</f>
        <v>20</v>
      </c>
      <c r="C7" s="6">
        <f t="shared" ref="C7:M7" si="3">C6-7</f>
        <v>21</v>
      </c>
      <c r="D7" s="6">
        <f t="shared" si="3"/>
        <v>22</v>
      </c>
      <c r="E7" s="6">
        <f t="shared" si="3"/>
        <v>23</v>
      </c>
      <c r="F7" s="6">
        <f t="shared" si="3"/>
        <v>28</v>
      </c>
      <c r="G7" s="6">
        <f t="shared" si="3"/>
        <v>29</v>
      </c>
      <c r="H7" s="6">
        <f t="shared" si="3"/>
        <v>30</v>
      </c>
      <c r="I7" s="6">
        <f t="shared" si="3"/>
        <v>31</v>
      </c>
      <c r="J7" s="6">
        <f t="shared" si="3"/>
        <v>33</v>
      </c>
      <c r="K7" s="6">
        <f t="shared" si="3"/>
        <v>35</v>
      </c>
      <c r="L7" s="6">
        <f t="shared" si="3"/>
        <v>37</v>
      </c>
      <c r="M7" s="6">
        <f t="shared" si="3"/>
        <v>39</v>
      </c>
    </row>
    <row r="8" spans="1:13" x14ac:dyDescent="0.25">
      <c r="A8" s="7" t="s">
        <v>17</v>
      </c>
      <c r="B8" s="6">
        <v>26</v>
      </c>
      <c r="C8" s="6">
        <f>B8+2</f>
        <v>28</v>
      </c>
      <c r="D8" s="6">
        <f t="shared" ref="D8:E8" si="4">C8+2</f>
        <v>30</v>
      </c>
      <c r="E8" s="6">
        <f t="shared" si="4"/>
        <v>32</v>
      </c>
      <c r="F8" s="6">
        <f t="shared" ref="F8:G8" si="5">G8-2</f>
        <v>36</v>
      </c>
      <c r="G8" s="6">
        <f t="shared" si="5"/>
        <v>38</v>
      </c>
      <c r="H8" s="6">
        <f>I8-2</f>
        <v>40</v>
      </c>
      <c r="I8" s="6">
        <v>42</v>
      </c>
      <c r="J8" s="6">
        <f>I8+4</f>
        <v>46</v>
      </c>
      <c r="K8" s="6">
        <f t="shared" ref="K8:M8" si="6">J8+4</f>
        <v>50</v>
      </c>
      <c r="L8" s="6">
        <f t="shared" si="6"/>
        <v>54</v>
      </c>
      <c r="M8" s="6">
        <f t="shared" si="6"/>
        <v>58</v>
      </c>
    </row>
    <row r="11" spans="1:13" ht="15.75" thickBot="1" x14ac:dyDescent="0.3">
      <c r="A11" s="1" t="s">
        <v>18</v>
      </c>
    </row>
    <row r="12" spans="1:13" ht="15.75" thickBot="1" x14ac:dyDescent="0.3">
      <c r="A12" s="2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11</v>
      </c>
      <c r="L12" s="3" t="s">
        <v>12</v>
      </c>
      <c r="M12" s="4" t="s">
        <v>13</v>
      </c>
    </row>
    <row r="13" spans="1:13" x14ac:dyDescent="0.25">
      <c r="A13" s="5" t="s">
        <v>14</v>
      </c>
      <c r="B13" s="6">
        <v>33</v>
      </c>
      <c r="C13" s="6">
        <f>B13+1</f>
        <v>34</v>
      </c>
      <c r="D13" s="6">
        <f t="shared" ref="D13:E14" si="7">C13+1</f>
        <v>35</v>
      </c>
      <c r="E13" s="6">
        <f t="shared" si="7"/>
        <v>36</v>
      </c>
      <c r="F13" s="6">
        <f>E13+5</f>
        <v>41</v>
      </c>
      <c r="G13" s="6">
        <f>F13+2</f>
        <v>43</v>
      </c>
      <c r="H13" s="6">
        <f t="shared" ref="H13:M14" si="8">G13+2</f>
        <v>45</v>
      </c>
      <c r="I13" s="6">
        <f t="shared" si="8"/>
        <v>47</v>
      </c>
      <c r="J13" s="6">
        <f t="shared" si="8"/>
        <v>49</v>
      </c>
      <c r="K13" s="6">
        <f t="shared" si="8"/>
        <v>51</v>
      </c>
      <c r="L13" s="6">
        <f t="shared" si="8"/>
        <v>53</v>
      </c>
      <c r="M13" s="6">
        <f t="shared" si="8"/>
        <v>55</v>
      </c>
    </row>
    <row r="14" spans="1:13" x14ac:dyDescent="0.25">
      <c r="A14" s="7" t="s">
        <v>15</v>
      </c>
      <c r="B14" s="6">
        <v>27</v>
      </c>
      <c r="C14" s="6">
        <f>B14+1</f>
        <v>28</v>
      </c>
      <c r="D14" s="6">
        <f t="shared" si="7"/>
        <v>29</v>
      </c>
      <c r="E14" s="6">
        <f t="shared" si="7"/>
        <v>30</v>
      </c>
      <c r="F14" s="6">
        <f t="shared" ref="F14:G14" si="9">G14-1</f>
        <v>35</v>
      </c>
      <c r="G14" s="6">
        <f t="shared" si="9"/>
        <v>36</v>
      </c>
      <c r="H14" s="6">
        <f>I14-1</f>
        <v>37</v>
      </c>
      <c r="I14" s="6">
        <v>38</v>
      </c>
      <c r="J14" s="6">
        <f>I14+2</f>
        <v>40</v>
      </c>
      <c r="K14" s="6">
        <f t="shared" si="8"/>
        <v>42</v>
      </c>
      <c r="L14" s="6">
        <f t="shared" si="8"/>
        <v>44</v>
      </c>
      <c r="M14" s="6">
        <f t="shared" si="8"/>
        <v>46</v>
      </c>
    </row>
    <row r="15" spans="1:13" x14ac:dyDescent="0.25">
      <c r="A15" s="7" t="s">
        <v>16</v>
      </c>
      <c r="B15" s="6">
        <f>B14-7</f>
        <v>20</v>
      </c>
      <c r="C15" s="6">
        <f t="shared" ref="C15:M15" si="10">C14-7</f>
        <v>21</v>
      </c>
      <c r="D15" s="6">
        <f t="shared" si="10"/>
        <v>22</v>
      </c>
      <c r="E15" s="6">
        <f t="shared" si="10"/>
        <v>23</v>
      </c>
      <c r="F15" s="6">
        <f t="shared" si="10"/>
        <v>28</v>
      </c>
      <c r="G15" s="6">
        <f t="shared" si="10"/>
        <v>29</v>
      </c>
      <c r="H15" s="6">
        <f t="shared" si="10"/>
        <v>30</v>
      </c>
      <c r="I15" s="6">
        <f t="shared" si="10"/>
        <v>31</v>
      </c>
      <c r="J15" s="6">
        <f t="shared" si="10"/>
        <v>33</v>
      </c>
      <c r="K15" s="6">
        <f t="shared" si="10"/>
        <v>35</v>
      </c>
      <c r="L15" s="6">
        <f t="shared" si="10"/>
        <v>37</v>
      </c>
      <c r="M15" s="6">
        <f t="shared" si="10"/>
        <v>39</v>
      </c>
    </row>
    <row r="16" spans="1:13" x14ac:dyDescent="0.25">
      <c r="A16" s="7" t="s">
        <v>17</v>
      </c>
      <c r="B16" s="6">
        <v>26</v>
      </c>
      <c r="C16" s="6">
        <f>B16+2</f>
        <v>28</v>
      </c>
      <c r="D16" s="6">
        <f t="shared" ref="D16:E16" si="11">C16+2</f>
        <v>30</v>
      </c>
      <c r="E16" s="6">
        <f t="shared" si="11"/>
        <v>32</v>
      </c>
      <c r="F16" s="6">
        <f t="shared" ref="F16:G16" si="12">G16-2</f>
        <v>36</v>
      </c>
      <c r="G16" s="6">
        <f t="shared" si="12"/>
        <v>38</v>
      </c>
      <c r="H16" s="6">
        <f>I16-2</f>
        <v>40</v>
      </c>
      <c r="I16" s="6">
        <v>42</v>
      </c>
      <c r="J16" s="6">
        <f>I16+4</f>
        <v>46</v>
      </c>
      <c r="K16" s="6">
        <f t="shared" ref="K16:M16" si="13">J16+4</f>
        <v>50</v>
      </c>
      <c r="L16" s="6">
        <f t="shared" si="13"/>
        <v>54</v>
      </c>
      <c r="M16" s="6">
        <f t="shared" si="13"/>
        <v>58</v>
      </c>
    </row>
    <row r="19" spans="1:13" ht="15.75" thickBot="1" x14ac:dyDescent="0.3">
      <c r="A19" s="1" t="s">
        <v>19</v>
      </c>
    </row>
    <row r="20" spans="1:13" ht="15.75" thickBot="1" x14ac:dyDescent="0.3">
      <c r="A20" s="2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3" t="s">
        <v>8</v>
      </c>
      <c r="I20" s="3" t="s">
        <v>9</v>
      </c>
      <c r="J20" s="3" t="s">
        <v>10</v>
      </c>
      <c r="K20" s="3" t="s">
        <v>11</v>
      </c>
      <c r="L20" s="3" t="s">
        <v>12</v>
      </c>
      <c r="M20" s="4" t="s">
        <v>13</v>
      </c>
    </row>
    <row r="21" spans="1:13" x14ac:dyDescent="0.25">
      <c r="A21" s="5" t="s">
        <v>14</v>
      </c>
      <c r="B21" s="6">
        <v>30</v>
      </c>
      <c r="C21" s="6">
        <f>B21+1</f>
        <v>31</v>
      </c>
      <c r="D21" s="6">
        <f t="shared" ref="D21:E22" si="14">C21+1</f>
        <v>32</v>
      </c>
      <c r="E21" s="6">
        <v>33</v>
      </c>
      <c r="F21" s="6">
        <f t="shared" ref="F21" si="15">G21-2</f>
        <v>38</v>
      </c>
      <c r="G21" s="6">
        <f>H21-2</f>
        <v>40</v>
      </c>
      <c r="H21" s="6">
        <v>42</v>
      </c>
      <c r="I21" s="6">
        <f t="shared" ref="I21:M22" si="16">H21+2</f>
        <v>44</v>
      </c>
      <c r="J21" s="6">
        <f t="shared" si="16"/>
        <v>46</v>
      </c>
      <c r="K21" s="6">
        <f t="shared" si="16"/>
        <v>48</v>
      </c>
      <c r="L21" s="6">
        <f t="shared" si="16"/>
        <v>50</v>
      </c>
      <c r="M21" s="6">
        <f t="shared" si="16"/>
        <v>52</v>
      </c>
    </row>
    <row r="22" spans="1:13" x14ac:dyDescent="0.25">
      <c r="A22" s="7" t="s">
        <v>15</v>
      </c>
      <c r="B22" s="6">
        <v>27</v>
      </c>
      <c r="C22" s="6">
        <f>B22+1</f>
        <v>28</v>
      </c>
      <c r="D22" s="6">
        <f t="shared" si="14"/>
        <v>29</v>
      </c>
      <c r="E22" s="6">
        <f t="shared" si="14"/>
        <v>30</v>
      </c>
      <c r="F22" s="6">
        <f t="shared" ref="F22:G22" si="17">G22-1</f>
        <v>34</v>
      </c>
      <c r="G22" s="6">
        <f t="shared" si="17"/>
        <v>35</v>
      </c>
      <c r="H22" s="6">
        <v>36</v>
      </c>
      <c r="I22" s="6">
        <v>38</v>
      </c>
      <c r="J22" s="6">
        <f>I22+2</f>
        <v>40</v>
      </c>
      <c r="K22" s="6">
        <f t="shared" si="16"/>
        <v>42</v>
      </c>
      <c r="L22" s="6">
        <f t="shared" si="16"/>
        <v>44</v>
      </c>
      <c r="M22" s="6">
        <f t="shared" si="16"/>
        <v>46</v>
      </c>
    </row>
    <row r="23" spans="1:13" x14ac:dyDescent="0.25">
      <c r="A23" s="7" t="s">
        <v>16</v>
      </c>
      <c r="B23" s="6">
        <f>B22-7</f>
        <v>20</v>
      </c>
      <c r="C23" s="6">
        <f t="shared" ref="C23:M23" si="18">C22-7</f>
        <v>21</v>
      </c>
      <c r="D23" s="6">
        <f t="shared" si="18"/>
        <v>22</v>
      </c>
      <c r="E23" s="6">
        <f t="shared" si="18"/>
        <v>23</v>
      </c>
      <c r="F23" s="6">
        <f t="shared" si="18"/>
        <v>27</v>
      </c>
      <c r="G23" s="6">
        <f t="shared" si="18"/>
        <v>28</v>
      </c>
      <c r="H23" s="6">
        <f t="shared" si="18"/>
        <v>29</v>
      </c>
      <c r="I23" s="6">
        <f t="shared" si="18"/>
        <v>31</v>
      </c>
      <c r="J23" s="6">
        <f t="shared" si="18"/>
        <v>33</v>
      </c>
      <c r="K23" s="6">
        <f t="shared" si="18"/>
        <v>35</v>
      </c>
      <c r="L23" s="6">
        <f t="shared" si="18"/>
        <v>37</v>
      </c>
      <c r="M23" s="6">
        <f t="shared" si="18"/>
        <v>39</v>
      </c>
    </row>
    <row r="24" spans="1:13" x14ac:dyDescent="0.25">
      <c r="A24" s="7" t="s">
        <v>17</v>
      </c>
      <c r="B24" s="6">
        <v>26</v>
      </c>
      <c r="C24" s="6">
        <f>B24+2</f>
        <v>28</v>
      </c>
      <c r="D24" s="6">
        <f t="shared" ref="D24:E24" si="19">C24+2</f>
        <v>30</v>
      </c>
      <c r="E24" s="6">
        <f t="shared" si="19"/>
        <v>32</v>
      </c>
      <c r="F24" s="6">
        <f t="shared" ref="F24:G24" si="20">G24-2</f>
        <v>36</v>
      </c>
      <c r="G24" s="6">
        <f t="shared" si="20"/>
        <v>38</v>
      </c>
      <c r="H24" s="6">
        <f>I24-2</f>
        <v>40</v>
      </c>
      <c r="I24" s="6">
        <v>42</v>
      </c>
      <c r="J24" s="6">
        <f>I24+4</f>
        <v>46</v>
      </c>
      <c r="K24" s="6">
        <f t="shared" ref="K24:M24" si="21">J24+4</f>
        <v>50</v>
      </c>
      <c r="L24" s="6">
        <f t="shared" si="21"/>
        <v>54</v>
      </c>
      <c r="M24" s="6">
        <f t="shared" si="21"/>
        <v>58</v>
      </c>
    </row>
    <row r="27" spans="1:13" ht="15.75" thickBot="1" x14ac:dyDescent="0.3">
      <c r="A27" s="1" t="s">
        <v>20</v>
      </c>
    </row>
    <row r="28" spans="1:13" ht="15.75" thickBot="1" x14ac:dyDescent="0.3">
      <c r="A28" s="2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7</v>
      </c>
      <c r="H28" s="3" t="s">
        <v>8</v>
      </c>
      <c r="I28" s="3" t="s">
        <v>9</v>
      </c>
      <c r="J28" s="3" t="s">
        <v>10</v>
      </c>
      <c r="K28" s="3" t="s">
        <v>11</v>
      </c>
      <c r="L28" s="3" t="s">
        <v>12</v>
      </c>
      <c r="M28" s="4" t="s">
        <v>13</v>
      </c>
    </row>
    <row r="29" spans="1:13" x14ac:dyDescent="0.25">
      <c r="A29" s="5" t="s">
        <v>14</v>
      </c>
      <c r="B29" s="6">
        <v>39</v>
      </c>
      <c r="C29" s="6">
        <f>B29+3</f>
        <v>42</v>
      </c>
      <c r="D29" s="6">
        <f t="shared" ref="D29:E29" si="22">C29+3</f>
        <v>45</v>
      </c>
      <c r="E29" s="6">
        <f t="shared" si="22"/>
        <v>48</v>
      </c>
      <c r="F29" s="6">
        <f t="shared" ref="F29" si="23">G29-2</f>
        <v>57</v>
      </c>
      <c r="G29" s="6">
        <f>H29-2</f>
        <v>59</v>
      </c>
      <c r="H29" s="6">
        <f>I29-4</f>
        <v>61</v>
      </c>
      <c r="I29" s="6">
        <v>65</v>
      </c>
      <c r="J29" s="6">
        <v>69</v>
      </c>
      <c r="K29" s="6">
        <f>J29+8</f>
        <v>77</v>
      </c>
      <c r="L29" s="6">
        <f t="shared" ref="L29:M29" si="24">K29+8</f>
        <v>85</v>
      </c>
      <c r="M29" s="6">
        <f t="shared" si="24"/>
        <v>93</v>
      </c>
    </row>
    <row r="30" spans="1:13" x14ac:dyDescent="0.25">
      <c r="A30" s="7" t="s">
        <v>15</v>
      </c>
      <c r="B30" s="6">
        <v>27</v>
      </c>
      <c r="C30" s="6">
        <f>B30+1</f>
        <v>28</v>
      </c>
      <c r="D30" s="6">
        <f t="shared" ref="D30:E30" si="25">C30+1</f>
        <v>29</v>
      </c>
      <c r="E30" s="6">
        <f t="shared" si="25"/>
        <v>30</v>
      </c>
      <c r="F30" s="6">
        <f t="shared" ref="F30:G30" si="26">G30-1</f>
        <v>34</v>
      </c>
      <c r="G30" s="6">
        <f t="shared" si="26"/>
        <v>35</v>
      </c>
      <c r="H30" s="6">
        <v>36</v>
      </c>
      <c r="I30" s="6">
        <v>38</v>
      </c>
      <c r="J30" s="6">
        <f>I30+2</f>
        <v>40</v>
      </c>
      <c r="K30" s="6">
        <f t="shared" ref="K30:M30" si="27">J30+2</f>
        <v>42</v>
      </c>
      <c r="L30" s="6">
        <f t="shared" si="27"/>
        <v>44</v>
      </c>
      <c r="M30" s="6">
        <f t="shared" si="27"/>
        <v>46</v>
      </c>
    </row>
    <row r="31" spans="1:13" x14ac:dyDescent="0.25">
      <c r="A31" s="7" t="s">
        <v>16</v>
      </c>
      <c r="B31" s="6">
        <f>B30-7</f>
        <v>20</v>
      </c>
      <c r="C31" s="6">
        <f t="shared" ref="C31:M31" si="28">C30-7</f>
        <v>21</v>
      </c>
      <c r="D31" s="6">
        <f t="shared" si="28"/>
        <v>22</v>
      </c>
      <c r="E31" s="6">
        <f t="shared" si="28"/>
        <v>23</v>
      </c>
      <c r="F31" s="6">
        <f t="shared" si="28"/>
        <v>27</v>
      </c>
      <c r="G31" s="6">
        <f t="shared" si="28"/>
        <v>28</v>
      </c>
      <c r="H31" s="6">
        <f t="shared" si="28"/>
        <v>29</v>
      </c>
      <c r="I31" s="6">
        <f t="shared" si="28"/>
        <v>31</v>
      </c>
      <c r="J31" s="6">
        <f t="shared" si="28"/>
        <v>33</v>
      </c>
      <c r="K31" s="6">
        <f t="shared" si="28"/>
        <v>35</v>
      </c>
      <c r="L31" s="6">
        <f t="shared" si="28"/>
        <v>37</v>
      </c>
      <c r="M31" s="6">
        <f t="shared" si="28"/>
        <v>39</v>
      </c>
    </row>
    <row r="32" spans="1:13" x14ac:dyDescent="0.25">
      <c r="A32" s="7" t="s">
        <v>17</v>
      </c>
      <c r="B32" s="6">
        <v>26</v>
      </c>
      <c r="C32" s="6">
        <f>B32+2</f>
        <v>28</v>
      </c>
      <c r="D32" s="6">
        <f t="shared" ref="D32:E32" si="29">C32+2</f>
        <v>30</v>
      </c>
      <c r="E32" s="6">
        <f t="shared" si="29"/>
        <v>32</v>
      </c>
      <c r="F32" s="6">
        <f t="shared" ref="F32:G32" si="30">G32-2</f>
        <v>36</v>
      </c>
      <c r="G32" s="6">
        <f t="shared" si="30"/>
        <v>38</v>
      </c>
      <c r="H32" s="6">
        <f>I32-2</f>
        <v>40</v>
      </c>
      <c r="I32" s="6">
        <v>42</v>
      </c>
      <c r="J32" s="6">
        <f>I32+4</f>
        <v>46</v>
      </c>
      <c r="K32" s="6">
        <f t="shared" ref="K32:M32" si="31">J32+4</f>
        <v>50</v>
      </c>
      <c r="L32" s="6">
        <f t="shared" si="31"/>
        <v>54</v>
      </c>
      <c r="M32" s="6">
        <f t="shared" si="31"/>
        <v>58</v>
      </c>
    </row>
    <row r="35" spans="1:13" ht="15.75" thickBot="1" x14ac:dyDescent="0.3">
      <c r="A35" s="1" t="s">
        <v>21</v>
      </c>
    </row>
    <row r="36" spans="1:13" ht="15.75" thickBot="1" x14ac:dyDescent="0.3">
      <c r="A36" s="2" t="s">
        <v>1</v>
      </c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4" t="s">
        <v>13</v>
      </c>
    </row>
    <row r="37" spans="1:13" x14ac:dyDescent="0.25">
      <c r="A37" s="5" t="s">
        <v>14</v>
      </c>
      <c r="B37" s="6">
        <v>48</v>
      </c>
      <c r="C37" s="6">
        <v>52</v>
      </c>
      <c r="D37" s="6">
        <v>56</v>
      </c>
      <c r="E37" s="6">
        <v>60</v>
      </c>
      <c r="F37" s="6">
        <f t="shared" ref="F37" si="32">G37-2</f>
        <v>88</v>
      </c>
      <c r="G37" s="6">
        <f>H37-2</f>
        <v>90</v>
      </c>
      <c r="H37" s="6">
        <f>I37-4</f>
        <v>92</v>
      </c>
      <c r="I37" s="6">
        <v>96</v>
      </c>
      <c r="J37" s="6">
        <v>100</v>
      </c>
      <c r="K37" s="6">
        <f>J37+8</f>
        <v>108</v>
      </c>
      <c r="L37" s="6">
        <f t="shared" ref="L37:M37" si="33">K37+8</f>
        <v>116</v>
      </c>
      <c r="M37" s="6">
        <f t="shared" si="33"/>
        <v>124</v>
      </c>
    </row>
    <row r="38" spans="1:13" x14ac:dyDescent="0.25">
      <c r="A38" s="7" t="s">
        <v>22</v>
      </c>
      <c r="B38" s="6">
        <v>27</v>
      </c>
      <c r="C38" s="6">
        <f>B38+1</f>
        <v>28</v>
      </c>
      <c r="D38" s="6">
        <f t="shared" ref="D38:E38" si="34">C38+1</f>
        <v>29</v>
      </c>
      <c r="E38" s="6">
        <f t="shared" si="34"/>
        <v>30</v>
      </c>
      <c r="F38" s="6">
        <f t="shared" ref="F38:G38" si="35">G38-1</f>
        <v>34</v>
      </c>
      <c r="G38" s="6">
        <f t="shared" si="35"/>
        <v>35</v>
      </c>
      <c r="H38" s="6">
        <v>36</v>
      </c>
      <c r="I38" s="6">
        <v>38</v>
      </c>
      <c r="J38" s="6">
        <f>I38+2</f>
        <v>40</v>
      </c>
      <c r="K38" s="6">
        <f t="shared" ref="K38:M38" si="36">J38+2</f>
        <v>42</v>
      </c>
      <c r="L38" s="6">
        <f t="shared" si="36"/>
        <v>44</v>
      </c>
      <c r="M38" s="6">
        <f t="shared" si="36"/>
        <v>46</v>
      </c>
    </row>
    <row r="39" spans="1:13" x14ac:dyDescent="0.25">
      <c r="A39" s="7" t="s">
        <v>16</v>
      </c>
      <c r="B39" s="6">
        <f>B38-7</f>
        <v>20</v>
      </c>
      <c r="C39" s="6">
        <f t="shared" ref="C39:M39" si="37">C38-7</f>
        <v>21</v>
      </c>
      <c r="D39" s="6">
        <f t="shared" si="37"/>
        <v>22</v>
      </c>
      <c r="E39" s="6">
        <f t="shared" si="37"/>
        <v>23</v>
      </c>
      <c r="F39" s="6">
        <f t="shared" si="37"/>
        <v>27</v>
      </c>
      <c r="G39" s="6">
        <f t="shared" si="37"/>
        <v>28</v>
      </c>
      <c r="H39" s="6">
        <f t="shared" si="37"/>
        <v>29</v>
      </c>
      <c r="I39" s="6">
        <f t="shared" si="37"/>
        <v>31</v>
      </c>
      <c r="J39" s="6">
        <f t="shared" si="37"/>
        <v>33</v>
      </c>
      <c r="K39" s="6">
        <f t="shared" si="37"/>
        <v>35</v>
      </c>
      <c r="L39" s="6">
        <f t="shared" si="37"/>
        <v>37</v>
      </c>
      <c r="M39" s="6">
        <f t="shared" si="37"/>
        <v>39</v>
      </c>
    </row>
    <row r="40" spans="1:13" x14ac:dyDescent="0.25">
      <c r="A40" s="7" t="s">
        <v>17</v>
      </c>
      <c r="B40" s="6">
        <v>26</v>
      </c>
      <c r="C40" s="6">
        <f>B40+2</f>
        <v>28</v>
      </c>
      <c r="D40" s="6">
        <f t="shared" ref="D40:E40" si="38">C40+2</f>
        <v>30</v>
      </c>
      <c r="E40" s="6">
        <f t="shared" si="38"/>
        <v>32</v>
      </c>
      <c r="F40" s="6">
        <f t="shared" ref="F40:G40" si="39">G40-2</f>
        <v>36</v>
      </c>
      <c r="G40" s="6">
        <f t="shared" si="39"/>
        <v>38</v>
      </c>
      <c r="H40" s="6">
        <f>I40-2</f>
        <v>40</v>
      </c>
      <c r="I40" s="6">
        <v>42</v>
      </c>
      <c r="J40" s="6">
        <f>I40+4</f>
        <v>46</v>
      </c>
      <c r="K40" s="6">
        <f t="shared" ref="K40:M41" si="40">J40+4</f>
        <v>50</v>
      </c>
      <c r="L40" s="6">
        <f t="shared" si="40"/>
        <v>54</v>
      </c>
      <c r="M40" s="6">
        <f t="shared" si="40"/>
        <v>58</v>
      </c>
    </row>
    <row r="41" spans="1:13" ht="15.75" thickBot="1" x14ac:dyDescent="0.3">
      <c r="A41" s="8" t="s">
        <v>23</v>
      </c>
      <c r="B41" s="9">
        <v>14</v>
      </c>
      <c r="C41" s="9">
        <v>15</v>
      </c>
      <c r="D41" s="9">
        <v>16</v>
      </c>
      <c r="E41" s="9">
        <v>17</v>
      </c>
      <c r="F41" s="9">
        <f t="shared" ref="F41:G41" si="41">G41-1</f>
        <v>43</v>
      </c>
      <c r="G41" s="9">
        <f t="shared" si="41"/>
        <v>44</v>
      </c>
      <c r="H41" s="9">
        <f>I41-1</f>
        <v>45</v>
      </c>
      <c r="I41" s="9">
        <f>I37-50</f>
        <v>46</v>
      </c>
      <c r="J41" s="9">
        <f>I41+1</f>
        <v>47</v>
      </c>
      <c r="K41" s="9">
        <f>J41+4</f>
        <v>51</v>
      </c>
      <c r="L41" s="9">
        <f t="shared" si="40"/>
        <v>55</v>
      </c>
      <c r="M41" s="9">
        <f t="shared" si="40"/>
        <v>59</v>
      </c>
    </row>
    <row r="44" spans="1:13" ht="15.75" thickBot="1" x14ac:dyDescent="0.3">
      <c r="A44" s="1" t="s">
        <v>24</v>
      </c>
    </row>
    <row r="45" spans="1:13" ht="15.75" thickBot="1" x14ac:dyDescent="0.3">
      <c r="A45" s="2" t="s">
        <v>1</v>
      </c>
      <c r="B45" s="3" t="s">
        <v>2</v>
      </c>
      <c r="C45" s="3" t="s">
        <v>3</v>
      </c>
      <c r="D45" s="3" t="s">
        <v>4</v>
      </c>
      <c r="E45" s="3" t="s">
        <v>5</v>
      </c>
      <c r="F45" s="3" t="s">
        <v>6</v>
      </c>
      <c r="G45" s="3" t="s">
        <v>7</v>
      </c>
      <c r="H45" s="3" t="s">
        <v>8</v>
      </c>
      <c r="I45" s="3" t="s">
        <v>9</v>
      </c>
      <c r="J45" s="3" t="s">
        <v>10</v>
      </c>
      <c r="K45" s="3" t="s">
        <v>11</v>
      </c>
      <c r="L45" s="3" t="s">
        <v>12</v>
      </c>
      <c r="M45" s="4" t="s">
        <v>13</v>
      </c>
    </row>
    <row r="46" spans="1:13" x14ac:dyDescent="0.25">
      <c r="A46" s="5" t="s">
        <v>14</v>
      </c>
      <c r="B46" s="6">
        <v>39</v>
      </c>
      <c r="C46" s="6">
        <f>B46+3</f>
        <v>42</v>
      </c>
      <c r="D46" s="6">
        <f t="shared" ref="D46:E46" si="42">C46+3</f>
        <v>45</v>
      </c>
      <c r="E46" s="6">
        <f t="shared" si="42"/>
        <v>48</v>
      </c>
      <c r="F46" s="6">
        <f t="shared" ref="F46" si="43">G46-2</f>
        <v>57</v>
      </c>
      <c r="G46" s="6">
        <f>H46-2</f>
        <v>59</v>
      </c>
      <c r="H46" s="6">
        <f>I46-4</f>
        <v>61</v>
      </c>
      <c r="I46" s="6">
        <v>65</v>
      </c>
      <c r="J46" s="6">
        <v>69</v>
      </c>
      <c r="K46" s="6">
        <f>J46+8</f>
        <v>77</v>
      </c>
      <c r="L46" s="6">
        <f t="shared" ref="L46:M46" si="44">K46+8</f>
        <v>85</v>
      </c>
      <c r="M46" s="6">
        <f t="shared" si="44"/>
        <v>93</v>
      </c>
    </row>
    <row r="47" spans="1:13" x14ac:dyDescent="0.25">
      <c r="A47" s="7" t="s">
        <v>25</v>
      </c>
      <c r="B47" s="6">
        <v>25</v>
      </c>
      <c r="C47" s="6">
        <f>B47+1</f>
        <v>26</v>
      </c>
      <c r="D47" s="6">
        <f t="shared" ref="D47:E47" si="45">C47+1</f>
        <v>27</v>
      </c>
      <c r="E47" s="6">
        <f t="shared" si="45"/>
        <v>28</v>
      </c>
      <c r="F47" s="6">
        <f t="shared" ref="F47:G47" si="46">G47-1</f>
        <v>31</v>
      </c>
      <c r="G47" s="6">
        <f t="shared" si="46"/>
        <v>32</v>
      </c>
      <c r="H47" s="6">
        <f>I47-1</f>
        <v>33</v>
      </c>
      <c r="I47" s="6">
        <v>34</v>
      </c>
      <c r="J47" s="6">
        <f>I47+2</f>
        <v>36</v>
      </c>
      <c r="K47" s="6">
        <f t="shared" ref="K47:M47" si="47">J47+2</f>
        <v>38</v>
      </c>
      <c r="L47" s="6">
        <f t="shared" si="47"/>
        <v>40</v>
      </c>
      <c r="M47" s="6">
        <f t="shared" si="47"/>
        <v>42</v>
      </c>
    </row>
    <row r="48" spans="1:13" x14ac:dyDescent="0.25">
      <c r="A48" s="7" t="s">
        <v>16</v>
      </c>
      <c r="B48" s="6">
        <f>B47-7</f>
        <v>18</v>
      </c>
      <c r="C48" s="6">
        <f t="shared" ref="C48:M48" si="48">C47-7</f>
        <v>19</v>
      </c>
      <c r="D48" s="6">
        <f t="shared" si="48"/>
        <v>20</v>
      </c>
      <c r="E48" s="6">
        <f t="shared" si="48"/>
        <v>21</v>
      </c>
      <c r="F48" s="6">
        <f t="shared" si="48"/>
        <v>24</v>
      </c>
      <c r="G48" s="6">
        <f t="shared" si="48"/>
        <v>25</v>
      </c>
      <c r="H48" s="6">
        <f t="shared" si="48"/>
        <v>26</v>
      </c>
      <c r="I48" s="6">
        <f t="shared" si="48"/>
        <v>27</v>
      </c>
      <c r="J48" s="6">
        <f t="shared" si="48"/>
        <v>29</v>
      </c>
      <c r="K48" s="6">
        <f t="shared" si="48"/>
        <v>31</v>
      </c>
      <c r="L48" s="6">
        <f t="shared" si="48"/>
        <v>33</v>
      </c>
      <c r="M48" s="6">
        <f t="shared" si="48"/>
        <v>35</v>
      </c>
    </row>
    <row r="49" spans="1:13" x14ac:dyDescent="0.25">
      <c r="A49" s="7" t="s">
        <v>17</v>
      </c>
      <c r="B49" s="6">
        <v>26</v>
      </c>
      <c r="C49" s="6">
        <f>B49+2</f>
        <v>28</v>
      </c>
      <c r="D49" s="6">
        <f t="shared" ref="D49:E49" si="49">C49+2</f>
        <v>30</v>
      </c>
      <c r="E49" s="6">
        <f t="shared" si="49"/>
        <v>32</v>
      </c>
      <c r="F49" s="6">
        <f t="shared" ref="F49:G49" si="50">G49-2</f>
        <v>36</v>
      </c>
      <c r="G49" s="6">
        <f t="shared" si="50"/>
        <v>38</v>
      </c>
      <c r="H49" s="6">
        <f>I49-2</f>
        <v>40</v>
      </c>
      <c r="I49" s="6">
        <v>42</v>
      </c>
      <c r="J49" s="10">
        <v>46</v>
      </c>
      <c r="K49" s="6">
        <v>50</v>
      </c>
      <c r="L49" s="6">
        <v>54</v>
      </c>
      <c r="M49" s="6">
        <v>58</v>
      </c>
    </row>
    <row r="52" spans="1:13" ht="15.75" thickBot="1" x14ac:dyDescent="0.3">
      <c r="A52" s="1" t="s">
        <v>26</v>
      </c>
    </row>
    <row r="53" spans="1:13" ht="15.75" thickBot="1" x14ac:dyDescent="0.3">
      <c r="A53" s="2" t="s">
        <v>1</v>
      </c>
      <c r="B53" s="3" t="s">
        <v>6</v>
      </c>
      <c r="C53" s="3" t="s">
        <v>7</v>
      </c>
      <c r="D53" s="3" t="s">
        <v>8</v>
      </c>
      <c r="E53" s="3" t="s">
        <v>9</v>
      </c>
      <c r="F53" s="3" t="s">
        <v>10</v>
      </c>
      <c r="G53" s="3" t="s">
        <v>11</v>
      </c>
      <c r="H53" s="3" t="s">
        <v>12</v>
      </c>
      <c r="I53" s="4" t="s">
        <v>13</v>
      </c>
    </row>
    <row r="54" spans="1:13" x14ac:dyDescent="0.25">
      <c r="A54" s="5" t="s">
        <v>14</v>
      </c>
      <c r="B54" s="6">
        <f t="shared" ref="B54" si="51">C54-2</f>
        <v>88</v>
      </c>
      <c r="C54" s="6">
        <f>D54-2</f>
        <v>90</v>
      </c>
      <c r="D54" s="6">
        <f>E54-4</f>
        <v>92</v>
      </c>
      <c r="E54" s="6">
        <v>96</v>
      </c>
      <c r="F54" s="6">
        <v>100</v>
      </c>
      <c r="G54" s="6">
        <f>F54+8</f>
        <v>108</v>
      </c>
      <c r="H54" s="6">
        <f t="shared" ref="H54:I54" si="52">G54+8</f>
        <v>116</v>
      </c>
      <c r="I54" s="6">
        <f t="shared" si="52"/>
        <v>124</v>
      </c>
    </row>
    <row r="55" spans="1:13" x14ac:dyDescent="0.25">
      <c r="A55" s="7" t="s">
        <v>15</v>
      </c>
      <c r="B55" s="6">
        <f t="shared" ref="B55:C55" si="53">C55-1</f>
        <v>34</v>
      </c>
      <c r="C55" s="6">
        <f t="shared" si="53"/>
        <v>35</v>
      </c>
      <c r="D55" s="6">
        <v>36</v>
      </c>
      <c r="E55" s="6">
        <v>38</v>
      </c>
      <c r="F55" s="6">
        <f>E55+2</f>
        <v>40</v>
      </c>
      <c r="G55" s="6">
        <f t="shared" ref="G55:I55" si="54">F55+2</f>
        <v>42</v>
      </c>
      <c r="H55" s="6">
        <f t="shared" si="54"/>
        <v>44</v>
      </c>
      <c r="I55" s="6">
        <f t="shared" si="54"/>
        <v>46</v>
      </c>
    </row>
    <row r="56" spans="1:13" x14ac:dyDescent="0.25">
      <c r="A56" s="7" t="s">
        <v>16</v>
      </c>
      <c r="B56" s="6">
        <f t="shared" ref="B56:I56" si="55">B55-7</f>
        <v>27</v>
      </c>
      <c r="C56" s="6">
        <f t="shared" si="55"/>
        <v>28</v>
      </c>
      <c r="D56" s="6">
        <f t="shared" si="55"/>
        <v>29</v>
      </c>
      <c r="E56" s="6">
        <f t="shared" si="55"/>
        <v>31</v>
      </c>
      <c r="F56" s="6">
        <f t="shared" si="55"/>
        <v>33</v>
      </c>
      <c r="G56" s="6">
        <f t="shared" si="55"/>
        <v>35</v>
      </c>
      <c r="H56" s="6">
        <f t="shared" si="55"/>
        <v>37</v>
      </c>
      <c r="I56" s="6">
        <f t="shared" si="55"/>
        <v>39</v>
      </c>
    </row>
    <row r="57" spans="1:13" x14ac:dyDescent="0.25">
      <c r="A57" s="7" t="s">
        <v>17</v>
      </c>
      <c r="B57" s="6">
        <f t="shared" ref="B57:C57" si="56">C57-2</f>
        <v>36</v>
      </c>
      <c r="C57" s="6">
        <f t="shared" si="56"/>
        <v>38</v>
      </c>
      <c r="D57" s="6">
        <f>E57-2</f>
        <v>40</v>
      </c>
      <c r="E57" s="6">
        <v>42</v>
      </c>
      <c r="F57" s="6">
        <f>E57+4</f>
        <v>46</v>
      </c>
      <c r="G57" s="6">
        <f t="shared" ref="G57:I58" si="57">F57+4</f>
        <v>50</v>
      </c>
      <c r="H57" s="6">
        <f t="shared" si="57"/>
        <v>54</v>
      </c>
      <c r="I57" s="6">
        <f t="shared" si="57"/>
        <v>58</v>
      </c>
    </row>
    <row r="58" spans="1:13" ht="15.75" thickBot="1" x14ac:dyDescent="0.3">
      <c r="A58" s="8" t="s">
        <v>23</v>
      </c>
      <c r="B58" s="9">
        <f t="shared" ref="B58:C58" si="58">C58-1</f>
        <v>43</v>
      </c>
      <c r="C58" s="9">
        <f t="shared" si="58"/>
        <v>44</v>
      </c>
      <c r="D58" s="9">
        <f>E58-1</f>
        <v>45</v>
      </c>
      <c r="E58" s="9">
        <f>E54-50</f>
        <v>46</v>
      </c>
      <c r="F58" s="9">
        <f>E58+1</f>
        <v>47</v>
      </c>
      <c r="G58" s="9">
        <f>F58+4</f>
        <v>51</v>
      </c>
      <c r="H58" s="9">
        <f t="shared" si="57"/>
        <v>55</v>
      </c>
      <c r="I58" s="9">
        <f t="shared" si="57"/>
        <v>59</v>
      </c>
    </row>
    <row r="61" spans="1:13" ht="15.75" thickBot="1" x14ac:dyDescent="0.3">
      <c r="A61" s="1" t="s">
        <v>27</v>
      </c>
    </row>
    <row r="62" spans="1:13" ht="15.75" thickBot="1" x14ac:dyDescent="0.3">
      <c r="A62" s="2" t="s">
        <v>1</v>
      </c>
      <c r="B62" s="3" t="s">
        <v>2</v>
      </c>
      <c r="C62" s="3" t="s">
        <v>3</v>
      </c>
      <c r="D62" s="3" t="s">
        <v>4</v>
      </c>
      <c r="E62" s="3" t="s">
        <v>5</v>
      </c>
      <c r="F62" s="3" t="s">
        <v>6</v>
      </c>
      <c r="G62" s="3" t="s">
        <v>7</v>
      </c>
      <c r="H62" s="3" t="s">
        <v>8</v>
      </c>
      <c r="I62" s="3" t="s">
        <v>9</v>
      </c>
      <c r="J62" s="3" t="s">
        <v>10</v>
      </c>
      <c r="K62" s="3" t="s">
        <v>11</v>
      </c>
      <c r="L62" s="3" t="s">
        <v>12</v>
      </c>
      <c r="M62" s="4" t="s">
        <v>13</v>
      </c>
    </row>
    <row r="63" spans="1:13" x14ac:dyDescent="0.25">
      <c r="A63" s="5" t="s">
        <v>14</v>
      </c>
      <c r="B63" s="6">
        <f t="shared" ref="B63:D63" si="59">C63-2</f>
        <v>34</v>
      </c>
      <c r="C63" s="6">
        <f t="shared" si="59"/>
        <v>36</v>
      </c>
      <c r="D63" s="6">
        <f t="shared" si="59"/>
        <v>38</v>
      </c>
      <c r="E63" s="6">
        <f>F63-2</f>
        <v>40</v>
      </c>
      <c r="F63" s="6">
        <f t="shared" ref="F63:G63" si="60">G63-2</f>
        <v>42</v>
      </c>
      <c r="G63" s="6">
        <f t="shared" si="60"/>
        <v>44</v>
      </c>
      <c r="H63" s="6">
        <f>I63-2</f>
        <v>46</v>
      </c>
      <c r="I63" s="6">
        <v>48</v>
      </c>
      <c r="J63" s="6">
        <f t="shared" ref="J63:M63" si="61">I63+2</f>
        <v>50</v>
      </c>
      <c r="K63" s="6">
        <f t="shared" si="61"/>
        <v>52</v>
      </c>
      <c r="L63" s="6">
        <f t="shared" si="61"/>
        <v>54</v>
      </c>
      <c r="M63" s="6">
        <f t="shared" si="61"/>
        <v>56</v>
      </c>
    </row>
    <row r="64" spans="1:13" x14ac:dyDescent="0.25">
      <c r="A64" s="7" t="s">
        <v>15</v>
      </c>
      <c r="B64" s="6">
        <v>27</v>
      </c>
      <c r="C64" s="6">
        <f>B64+1</f>
        <v>28</v>
      </c>
      <c r="D64" s="6">
        <f t="shared" ref="D64:E64" si="62">C64+1</f>
        <v>29</v>
      </c>
      <c r="E64" s="6">
        <f t="shared" si="62"/>
        <v>30</v>
      </c>
      <c r="F64" s="6">
        <f>E64+1</f>
        <v>31</v>
      </c>
      <c r="G64" s="6">
        <f t="shared" ref="G64:M64" si="63">F64+3</f>
        <v>34</v>
      </c>
      <c r="H64" s="6">
        <f t="shared" si="63"/>
        <v>37</v>
      </c>
      <c r="I64" s="6">
        <f t="shared" si="63"/>
        <v>40</v>
      </c>
      <c r="J64" s="6">
        <f t="shared" si="63"/>
        <v>43</v>
      </c>
      <c r="K64" s="6">
        <f t="shared" si="63"/>
        <v>46</v>
      </c>
      <c r="L64" s="6">
        <f t="shared" si="63"/>
        <v>49</v>
      </c>
      <c r="M64" s="6">
        <f t="shared" si="63"/>
        <v>52</v>
      </c>
    </row>
    <row r="65" spans="1:13" x14ac:dyDescent="0.25">
      <c r="A65" s="7" t="s">
        <v>16</v>
      </c>
      <c r="B65" s="6">
        <f>B64-6</f>
        <v>21</v>
      </c>
      <c r="C65" s="6">
        <f t="shared" ref="C65:M65" si="64">C64-6</f>
        <v>22</v>
      </c>
      <c r="D65" s="6">
        <f t="shared" si="64"/>
        <v>23</v>
      </c>
      <c r="E65" s="6">
        <f t="shared" si="64"/>
        <v>24</v>
      </c>
      <c r="F65" s="6">
        <f t="shared" si="64"/>
        <v>25</v>
      </c>
      <c r="G65" s="6">
        <f t="shared" si="64"/>
        <v>28</v>
      </c>
      <c r="H65" s="6">
        <f t="shared" si="64"/>
        <v>31</v>
      </c>
      <c r="I65" s="6">
        <f t="shared" si="64"/>
        <v>34</v>
      </c>
      <c r="J65" s="6">
        <f t="shared" si="64"/>
        <v>37</v>
      </c>
      <c r="K65" s="6">
        <f t="shared" si="64"/>
        <v>40</v>
      </c>
      <c r="L65" s="6">
        <f t="shared" si="64"/>
        <v>43</v>
      </c>
      <c r="M65" s="6">
        <f t="shared" si="64"/>
        <v>46</v>
      </c>
    </row>
    <row r="66" spans="1:13" x14ac:dyDescent="0.25">
      <c r="A66" s="7" t="s">
        <v>17</v>
      </c>
      <c r="B66" s="6">
        <v>26</v>
      </c>
      <c r="C66" s="6">
        <f>B66+2</f>
        <v>28</v>
      </c>
      <c r="D66" s="6">
        <f t="shared" ref="D66:E66" si="65">C66+2</f>
        <v>30</v>
      </c>
      <c r="E66" s="6">
        <f t="shared" si="65"/>
        <v>32</v>
      </c>
      <c r="F66" s="6">
        <f t="shared" ref="F66:G66" si="66">G66-2</f>
        <v>36</v>
      </c>
      <c r="G66" s="6">
        <f t="shared" si="66"/>
        <v>38</v>
      </c>
      <c r="H66" s="6">
        <f>I66-2</f>
        <v>40</v>
      </c>
      <c r="I66" s="6">
        <v>42</v>
      </c>
      <c r="J66" s="6">
        <f>I66+4</f>
        <v>46</v>
      </c>
      <c r="K66" s="6">
        <f t="shared" ref="K66:M66" si="67">J66+4</f>
        <v>50</v>
      </c>
      <c r="L66" s="6">
        <f t="shared" si="67"/>
        <v>54</v>
      </c>
      <c r="M66" s="6">
        <f t="shared" si="67"/>
        <v>58</v>
      </c>
    </row>
    <row r="69" spans="1:13" ht="15.75" thickBot="1" x14ac:dyDescent="0.3">
      <c r="A69" s="1" t="s">
        <v>30</v>
      </c>
    </row>
    <row r="70" spans="1:13" ht="15.75" thickBot="1" x14ac:dyDescent="0.3">
      <c r="A70" s="2" t="s">
        <v>1</v>
      </c>
      <c r="B70" s="3" t="s">
        <v>2</v>
      </c>
      <c r="C70" s="3" t="s">
        <v>3</v>
      </c>
      <c r="D70" s="3" t="s">
        <v>4</v>
      </c>
      <c r="E70" s="3" t="s">
        <v>5</v>
      </c>
      <c r="F70" s="3" t="s">
        <v>6</v>
      </c>
      <c r="G70" s="3" t="s">
        <v>7</v>
      </c>
      <c r="H70" s="3" t="s">
        <v>8</v>
      </c>
      <c r="I70" s="3" t="s">
        <v>9</v>
      </c>
      <c r="J70" s="3" t="s">
        <v>10</v>
      </c>
      <c r="K70" s="3" t="s">
        <v>11</v>
      </c>
      <c r="L70" s="3" t="s">
        <v>12</v>
      </c>
      <c r="M70" s="4" t="s">
        <v>13</v>
      </c>
    </row>
    <row r="71" spans="1:13" x14ac:dyDescent="0.25">
      <c r="A71" s="5" t="s">
        <v>14</v>
      </c>
      <c r="B71" s="6">
        <v>34</v>
      </c>
      <c r="C71" s="6">
        <f>B71+2</f>
        <v>36</v>
      </c>
      <c r="D71" s="6">
        <f t="shared" ref="D71:E71" si="68">C71+2</f>
        <v>38</v>
      </c>
      <c r="E71" s="6">
        <f t="shared" si="68"/>
        <v>40</v>
      </c>
      <c r="F71" s="6">
        <f t="shared" ref="F71:G71" si="69">G71-4</f>
        <v>57</v>
      </c>
      <c r="G71" s="6">
        <f t="shared" si="69"/>
        <v>61</v>
      </c>
      <c r="H71" s="6">
        <f>I71-4</f>
        <v>65</v>
      </c>
      <c r="I71" s="6">
        <v>69</v>
      </c>
      <c r="J71" s="6">
        <f>I71+4</f>
        <v>73</v>
      </c>
      <c r="K71" s="6">
        <f>J71+6</f>
        <v>79</v>
      </c>
      <c r="L71" s="6">
        <f t="shared" ref="L71:M71" si="70">K71+8</f>
        <v>87</v>
      </c>
      <c r="M71" s="6">
        <f t="shared" si="70"/>
        <v>95</v>
      </c>
    </row>
    <row r="72" spans="1:13" x14ac:dyDescent="0.25">
      <c r="A72" s="7" t="s">
        <v>28</v>
      </c>
      <c r="B72" s="6">
        <v>20</v>
      </c>
      <c r="C72" s="6">
        <v>21</v>
      </c>
      <c r="D72" s="6">
        <v>22</v>
      </c>
      <c r="E72" s="6">
        <v>23</v>
      </c>
      <c r="F72" s="6">
        <f t="shared" ref="F72" si="71">G72-2</f>
        <v>23</v>
      </c>
      <c r="G72" s="6">
        <f>H72-1</f>
        <v>25</v>
      </c>
      <c r="H72" s="6">
        <f>I72-1</f>
        <v>26</v>
      </c>
      <c r="I72" s="6">
        <v>27</v>
      </c>
      <c r="J72" s="6">
        <f>I72+2</f>
        <v>29</v>
      </c>
      <c r="K72" s="6">
        <f t="shared" ref="K72:M72" si="72">J72+2</f>
        <v>31</v>
      </c>
      <c r="L72" s="6">
        <f t="shared" si="72"/>
        <v>33</v>
      </c>
      <c r="M72" s="6">
        <f t="shared" si="72"/>
        <v>35</v>
      </c>
    </row>
    <row r="73" spans="1:13" x14ac:dyDescent="0.25">
      <c r="A73" s="7" t="s">
        <v>29</v>
      </c>
      <c r="B73" s="6">
        <v>27</v>
      </c>
      <c r="C73" s="6">
        <v>28</v>
      </c>
      <c r="D73" s="6">
        <v>29</v>
      </c>
      <c r="E73" s="6">
        <v>30</v>
      </c>
      <c r="F73" s="6">
        <f>E73+2</f>
        <v>32</v>
      </c>
      <c r="G73" s="6">
        <f>F73+1</f>
        <v>33</v>
      </c>
      <c r="H73" s="6">
        <f t="shared" ref="H73:M73" si="73">G73+1</f>
        <v>34</v>
      </c>
      <c r="I73" s="6">
        <f t="shared" si="73"/>
        <v>35</v>
      </c>
      <c r="J73" s="6">
        <f t="shared" si="73"/>
        <v>36</v>
      </c>
      <c r="K73" s="6">
        <f t="shared" si="73"/>
        <v>37</v>
      </c>
      <c r="L73" s="6">
        <f t="shared" si="73"/>
        <v>38</v>
      </c>
      <c r="M73" s="6">
        <f t="shared" si="73"/>
        <v>39</v>
      </c>
    </row>
    <row r="74" spans="1:13" x14ac:dyDescent="0.25">
      <c r="A74" s="7" t="s">
        <v>23</v>
      </c>
      <c r="B74" s="6">
        <f>B71-18</f>
        <v>16</v>
      </c>
      <c r="C74" s="6">
        <f>B74+1</f>
        <v>17</v>
      </c>
      <c r="D74" s="6">
        <f t="shared" ref="D74:E74" si="74">C74+1</f>
        <v>18</v>
      </c>
      <c r="E74" s="6">
        <f t="shared" si="74"/>
        <v>19</v>
      </c>
      <c r="F74" s="6">
        <f>F71-25</f>
        <v>32</v>
      </c>
      <c r="G74" s="6">
        <f>G71-27.5</f>
        <v>33.5</v>
      </c>
      <c r="H74" s="6">
        <f>H71-28.5</f>
        <v>36.5</v>
      </c>
      <c r="I74" s="6">
        <f>I71-29</f>
        <v>40</v>
      </c>
      <c r="J74" s="6">
        <f>J71-30</f>
        <v>43</v>
      </c>
      <c r="K74" s="6">
        <f>K71-31</f>
        <v>48</v>
      </c>
      <c r="L74" s="6">
        <f>L71-32</f>
        <v>55</v>
      </c>
      <c r="M74" s="6">
        <f>M71-33</f>
        <v>62</v>
      </c>
    </row>
    <row r="77" spans="1:13" ht="15.75" thickBot="1" x14ac:dyDescent="0.3">
      <c r="A77" s="1" t="s">
        <v>31</v>
      </c>
    </row>
    <row r="78" spans="1:13" ht="15.75" thickBot="1" x14ac:dyDescent="0.3">
      <c r="A78" s="2" t="s">
        <v>1</v>
      </c>
      <c r="B78" s="3" t="s">
        <v>2</v>
      </c>
      <c r="C78" s="3" t="s">
        <v>3</v>
      </c>
      <c r="D78" s="3" t="s">
        <v>4</v>
      </c>
      <c r="E78" s="3" t="s">
        <v>5</v>
      </c>
      <c r="F78" s="3" t="s">
        <v>6</v>
      </c>
      <c r="G78" s="3" t="s">
        <v>7</v>
      </c>
      <c r="H78" s="3" t="s">
        <v>8</v>
      </c>
      <c r="I78" s="3" t="s">
        <v>9</v>
      </c>
      <c r="J78" s="3" t="s">
        <v>10</v>
      </c>
      <c r="K78" s="3" t="s">
        <v>11</v>
      </c>
      <c r="L78" s="3" t="s">
        <v>12</v>
      </c>
      <c r="M78" s="4" t="s">
        <v>13</v>
      </c>
    </row>
    <row r="79" spans="1:13" x14ac:dyDescent="0.25">
      <c r="A79" s="5" t="s">
        <v>14</v>
      </c>
      <c r="B79" s="6">
        <v>33</v>
      </c>
      <c r="C79" s="6">
        <f>B79+2</f>
        <v>35</v>
      </c>
      <c r="D79" s="6">
        <f t="shared" ref="D79:E79" si="75">C79+2</f>
        <v>37</v>
      </c>
      <c r="E79" s="6">
        <f t="shared" si="75"/>
        <v>39</v>
      </c>
      <c r="F79" s="6">
        <f t="shared" ref="F79:G79" si="76">G79-4</f>
        <v>53</v>
      </c>
      <c r="G79" s="6">
        <f t="shared" si="76"/>
        <v>57</v>
      </c>
      <c r="H79" s="6">
        <f>I79-4</f>
        <v>61</v>
      </c>
      <c r="I79" s="6">
        <v>65</v>
      </c>
      <c r="J79" s="6">
        <f>I79+4</f>
        <v>69</v>
      </c>
      <c r="K79" s="6">
        <f>J79+6</f>
        <v>75</v>
      </c>
      <c r="L79" s="6">
        <f t="shared" ref="L79:M79" si="77">K79+8</f>
        <v>83</v>
      </c>
      <c r="M79" s="6">
        <f t="shared" si="77"/>
        <v>91</v>
      </c>
    </row>
    <row r="80" spans="1:13" x14ac:dyDescent="0.25">
      <c r="A80" s="7" t="s">
        <v>28</v>
      </c>
      <c r="B80" s="6">
        <v>19</v>
      </c>
      <c r="C80" s="6">
        <v>20</v>
      </c>
      <c r="D80" s="6">
        <v>21</v>
      </c>
      <c r="E80" s="6">
        <v>22</v>
      </c>
      <c r="F80" s="6">
        <f t="shared" ref="F80" si="78">G80-2</f>
        <v>22</v>
      </c>
      <c r="G80" s="6">
        <f>H80-1</f>
        <v>24</v>
      </c>
      <c r="H80" s="6">
        <f>I80-1</f>
        <v>25</v>
      </c>
      <c r="I80" s="6">
        <v>26</v>
      </c>
      <c r="J80" s="6">
        <f>I80+2</f>
        <v>28</v>
      </c>
      <c r="K80" s="6">
        <f t="shared" ref="K80:M80" si="79">J80+2</f>
        <v>30</v>
      </c>
      <c r="L80" s="6">
        <f t="shared" si="79"/>
        <v>32</v>
      </c>
      <c r="M80" s="6">
        <f t="shared" si="79"/>
        <v>34</v>
      </c>
    </row>
    <row r="81" spans="1:13" x14ac:dyDescent="0.25">
      <c r="A81" s="7" t="s">
        <v>29</v>
      </c>
      <c r="B81" s="6">
        <v>27</v>
      </c>
      <c r="C81" s="6">
        <v>28</v>
      </c>
      <c r="D81" s="6">
        <v>29</v>
      </c>
      <c r="E81" s="6">
        <v>30</v>
      </c>
      <c r="F81" s="6">
        <f>E81+2</f>
        <v>32</v>
      </c>
      <c r="G81" s="6">
        <f>F81+1</f>
        <v>33</v>
      </c>
      <c r="H81" s="6">
        <f t="shared" ref="H81:M81" si="80">G81+1</f>
        <v>34</v>
      </c>
      <c r="I81" s="6">
        <f t="shared" si="80"/>
        <v>35</v>
      </c>
      <c r="J81" s="6">
        <f t="shared" si="80"/>
        <v>36</v>
      </c>
      <c r="K81" s="6">
        <f t="shared" si="80"/>
        <v>37</v>
      </c>
      <c r="L81" s="6">
        <f t="shared" si="80"/>
        <v>38</v>
      </c>
      <c r="M81" s="6">
        <f t="shared" si="80"/>
        <v>39</v>
      </c>
    </row>
    <row r="82" spans="1:13" x14ac:dyDescent="0.25">
      <c r="A82" s="7" t="s">
        <v>23</v>
      </c>
      <c r="B82" s="6">
        <f>B79-18</f>
        <v>15</v>
      </c>
      <c r="C82" s="6">
        <f>B82+1</f>
        <v>16</v>
      </c>
      <c r="D82" s="6">
        <f t="shared" ref="D82:E82" si="81">C82+1</f>
        <v>17</v>
      </c>
      <c r="E82" s="6">
        <f t="shared" si="81"/>
        <v>18</v>
      </c>
      <c r="F82" s="6">
        <f>F79-25</f>
        <v>28</v>
      </c>
      <c r="G82" s="6">
        <f>G79-27.5</f>
        <v>29.5</v>
      </c>
      <c r="H82" s="6">
        <f>H79-28.5</f>
        <v>32.5</v>
      </c>
      <c r="I82" s="6">
        <f>I79-29</f>
        <v>36</v>
      </c>
      <c r="J82" s="6">
        <f>J79-30</f>
        <v>39</v>
      </c>
      <c r="K82" s="6">
        <f>K79-31</f>
        <v>44</v>
      </c>
      <c r="L82" s="6">
        <f>L79-32</f>
        <v>51</v>
      </c>
      <c r="M82" s="6">
        <f>M79-33</f>
        <v>58</v>
      </c>
    </row>
    <row r="85" spans="1:13" ht="15.75" thickBot="1" x14ac:dyDescent="0.3">
      <c r="A85" s="1" t="s">
        <v>32</v>
      </c>
    </row>
    <row r="86" spans="1:13" ht="15.75" thickBot="1" x14ac:dyDescent="0.3">
      <c r="A86" s="2" t="s">
        <v>1</v>
      </c>
      <c r="B86" s="3" t="s">
        <v>2</v>
      </c>
      <c r="C86" s="3" t="s">
        <v>3</v>
      </c>
      <c r="D86" s="3" t="s">
        <v>4</v>
      </c>
      <c r="E86" s="3" t="s">
        <v>5</v>
      </c>
      <c r="F86" s="3" t="s">
        <v>6</v>
      </c>
      <c r="G86" s="3" t="s">
        <v>7</v>
      </c>
      <c r="H86" s="3" t="s">
        <v>8</v>
      </c>
      <c r="I86" s="3" t="s">
        <v>9</v>
      </c>
      <c r="J86" s="3" t="s">
        <v>10</v>
      </c>
      <c r="K86" s="3" t="s">
        <v>11</v>
      </c>
      <c r="L86" s="3" t="s">
        <v>12</v>
      </c>
      <c r="M86" s="4" t="s">
        <v>13</v>
      </c>
    </row>
    <row r="87" spans="1:13" x14ac:dyDescent="0.25">
      <c r="A87" s="5" t="s">
        <v>14</v>
      </c>
      <c r="B87" s="6">
        <v>20</v>
      </c>
      <c r="C87" s="6">
        <f>B87+1</f>
        <v>21</v>
      </c>
      <c r="D87" s="6">
        <f t="shared" ref="D87:E87" si="82">C87+1</f>
        <v>22</v>
      </c>
      <c r="E87" s="6">
        <f t="shared" si="82"/>
        <v>23</v>
      </c>
      <c r="F87" s="6">
        <f t="shared" ref="F87:G87" si="83">G87-2</f>
        <v>24</v>
      </c>
      <c r="G87" s="6">
        <f t="shared" si="83"/>
        <v>26</v>
      </c>
      <c r="H87" s="6">
        <f>I87-2</f>
        <v>28</v>
      </c>
      <c r="I87" s="6">
        <v>30</v>
      </c>
      <c r="J87" s="6">
        <v>32</v>
      </c>
      <c r="K87" s="6">
        <f>J87+3</f>
        <v>35</v>
      </c>
      <c r="L87" s="6">
        <f t="shared" ref="L87:M87" si="84">K87+3</f>
        <v>38</v>
      </c>
      <c r="M87" s="6">
        <f t="shared" si="84"/>
        <v>41</v>
      </c>
    </row>
    <row r="88" spans="1:13" x14ac:dyDescent="0.25">
      <c r="A88" s="7" t="s">
        <v>28</v>
      </c>
      <c r="B88" s="6">
        <f t="shared" ref="B88:C88" si="85">C88-1</f>
        <v>20</v>
      </c>
      <c r="C88" s="6">
        <f t="shared" si="85"/>
        <v>21</v>
      </c>
      <c r="D88" s="6">
        <f>E88-1</f>
        <v>22</v>
      </c>
      <c r="E88" s="6">
        <f t="shared" ref="E88:F88" si="86">F88-2</f>
        <v>23</v>
      </c>
      <c r="F88" s="6">
        <f t="shared" si="86"/>
        <v>25</v>
      </c>
      <c r="G88" s="6">
        <f>H88-1</f>
        <v>27</v>
      </c>
      <c r="H88" s="6">
        <f>I88-1</f>
        <v>28</v>
      </c>
      <c r="I88" s="6">
        <v>29</v>
      </c>
      <c r="J88" s="6">
        <f>I88+2</f>
        <v>31</v>
      </c>
      <c r="K88" s="6">
        <f t="shared" ref="K88:M88" si="87">J88+2</f>
        <v>33</v>
      </c>
      <c r="L88" s="6">
        <f t="shared" si="87"/>
        <v>35</v>
      </c>
      <c r="M88" s="6">
        <f t="shared" si="87"/>
        <v>37</v>
      </c>
    </row>
    <row r="89" spans="1:13" x14ac:dyDescent="0.25">
      <c r="A89" s="7" t="s">
        <v>29</v>
      </c>
      <c r="B89" s="6">
        <v>27</v>
      </c>
      <c r="C89" s="6">
        <v>28</v>
      </c>
      <c r="D89" s="6">
        <v>29</v>
      </c>
      <c r="E89" s="6">
        <v>30</v>
      </c>
      <c r="F89" s="6">
        <f>E89+2</f>
        <v>32</v>
      </c>
      <c r="G89" s="6">
        <f>F89+1</f>
        <v>33</v>
      </c>
      <c r="H89" s="6">
        <f t="shared" ref="H89:M89" si="88">G89+1</f>
        <v>34</v>
      </c>
      <c r="I89" s="6">
        <f t="shared" si="88"/>
        <v>35</v>
      </c>
      <c r="J89" s="6">
        <f t="shared" si="88"/>
        <v>36</v>
      </c>
      <c r="K89" s="6">
        <f t="shared" si="88"/>
        <v>37</v>
      </c>
      <c r="L89" s="6">
        <f t="shared" si="88"/>
        <v>38</v>
      </c>
      <c r="M89" s="6">
        <f t="shared" si="88"/>
        <v>39</v>
      </c>
    </row>
    <row r="90" spans="1:13" x14ac:dyDescent="0.25">
      <c r="A90" s="7" t="s">
        <v>23</v>
      </c>
      <c r="B90" s="6">
        <v>3</v>
      </c>
      <c r="C90" s="6">
        <f>B90+0.5</f>
        <v>3.5</v>
      </c>
      <c r="D90" s="6">
        <f t="shared" ref="D90:E90" si="89">C90+0.5</f>
        <v>4</v>
      </c>
      <c r="E90" s="6">
        <f t="shared" si="89"/>
        <v>4.5</v>
      </c>
      <c r="F90" s="6">
        <v>3</v>
      </c>
      <c r="G90" s="6">
        <v>4</v>
      </c>
      <c r="H90" s="6">
        <v>5</v>
      </c>
      <c r="I90" s="6">
        <f>I87-24</f>
        <v>6</v>
      </c>
      <c r="J90" s="6">
        <v>7</v>
      </c>
      <c r="K90" s="6">
        <v>8</v>
      </c>
      <c r="L90" s="6">
        <v>9</v>
      </c>
      <c r="M90" s="6">
        <v>10</v>
      </c>
    </row>
    <row r="93" spans="1:13" ht="15.75" thickBot="1" x14ac:dyDescent="0.3">
      <c r="A93" s="1" t="s">
        <v>33</v>
      </c>
    </row>
    <row r="94" spans="1:13" ht="15.75" thickBot="1" x14ac:dyDescent="0.3">
      <c r="A94" s="2" t="s">
        <v>1</v>
      </c>
      <c r="B94" s="3" t="s">
        <v>2</v>
      </c>
      <c r="C94" s="3" t="s">
        <v>3</v>
      </c>
      <c r="D94" s="3" t="s">
        <v>4</v>
      </c>
      <c r="E94" s="3" t="s">
        <v>5</v>
      </c>
      <c r="F94" s="3" t="s">
        <v>6</v>
      </c>
      <c r="G94" s="3" t="s">
        <v>7</v>
      </c>
      <c r="H94" s="3" t="s">
        <v>8</v>
      </c>
      <c r="I94" s="3" t="s">
        <v>9</v>
      </c>
      <c r="J94" s="3" t="s">
        <v>10</v>
      </c>
      <c r="K94" s="3" t="s">
        <v>11</v>
      </c>
      <c r="L94" s="3" t="s">
        <v>12</v>
      </c>
      <c r="M94" s="4" t="s">
        <v>13</v>
      </c>
    </row>
    <row r="95" spans="1:13" x14ac:dyDescent="0.25">
      <c r="A95" s="5" t="s">
        <v>14</v>
      </c>
      <c r="B95" s="6">
        <v>20</v>
      </c>
      <c r="C95" s="6">
        <f>B95+1</f>
        <v>21</v>
      </c>
      <c r="D95" s="6">
        <f t="shared" ref="D95:E95" si="90">C95+1</f>
        <v>22</v>
      </c>
      <c r="E95" s="6">
        <f t="shared" si="90"/>
        <v>23</v>
      </c>
      <c r="F95" s="6">
        <f t="shared" ref="F95:G95" si="91">G95-2</f>
        <v>28</v>
      </c>
      <c r="G95" s="6">
        <f t="shared" si="91"/>
        <v>30</v>
      </c>
      <c r="H95" s="6">
        <f>I95-2</f>
        <v>32</v>
      </c>
      <c r="I95" s="6">
        <v>34</v>
      </c>
      <c r="J95" s="6">
        <v>36</v>
      </c>
      <c r="K95" s="6">
        <f>J95+4</f>
        <v>40</v>
      </c>
      <c r="L95" s="6">
        <f t="shared" ref="L95:M95" si="92">K95+3</f>
        <v>43</v>
      </c>
      <c r="M95" s="6">
        <f t="shared" si="92"/>
        <v>46</v>
      </c>
    </row>
    <row r="96" spans="1:13" x14ac:dyDescent="0.25">
      <c r="A96" s="7" t="s">
        <v>28</v>
      </c>
      <c r="B96" s="6">
        <f t="shared" ref="B96:C96" si="93">C96-1</f>
        <v>20</v>
      </c>
      <c r="C96" s="6">
        <f t="shared" si="93"/>
        <v>21</v>
      </c>
      <c r="D96" s="6">
        <f>E96-1</f>
        <v>22</v>
      </c>
      <c r="E96" s="6">
        <f t="shared" ref="E96:F96" si="94">F96-2</f>
        <v>23</v>
      </c>
      <c r="F96" s="6">
        <f t="shared" si="94"/>
        <v>25</v>
      </c>
      <c r="G96" s="6">
        <f>H96-1</f>
        <v>27</v>
      </c>
      <c r="H96" s="6">
        <f>I96-1</f>
        <v>28</v>
      </c>
      <c r="I96" s="6">
        <v>29</v>
      </c>
      <c r="J96" s="6">
        <f>I96+2</f>
        <v>31</v>
      </c>
      <c r="K96" s="6">
        <f t="shared" ref="K96:M96" si="95">J96+2</f>
        <v>33</v>
      </c>
      <c r="L96" s="6">
        <f t="shared" si="95"/>
        <v>35</v>
      </c>
      <c r="M96" s="6">
        <f t="shared" si="95"/>
        <v>37</v>
      </c>
    </row>
    <row r="97" spans="1:13" x14ac:dyDescent="0.25">
      <c r="A97" s="7" t="s">
        <v>29</v>
      </c>
      <c r="B97" s="6">
        <v>27</v>
      </c>
      <c r="C97" s="6">
        <v>28</v>
      </c>
      <c r="D97" s="6">
        <v>29</v>
      </c>
      <c r="E97" s="6">
        <v>30</v>
      </c>
      <c r="F97" s="6">
        <f>E97+2</f>
        <v>32</v>
      </c>
      <c r="G97" s="6">
        <f>F97+1</f>
        <v>33</v>
      </c>
      <c r="H97" s="6">
        <f t="shared" ref="H97:M97" si="96">G97+1</f>
        <v>34</v>
      </c>
      <c r="I97" s="6">
        <f t="shared" si="96"/>
        <v>35</v>
      </c>
      <c r="J97" s="6">
        <f t="shared" si="96"/>
        <v>36</v>
      </c>
      <c r="K97" s="6">
        <f t="shared" si="96"/>
        <v>37</v>
      </c>
      <c r="L97" s="6">
        <f t="shared" si="96"/>
        <v>38</v>
      </c>
      <c r="M97" s="6">
        <f t="shared" si="96"/>
        <v>39</v>
      </c>
    </row>
    <row r="100" spans="1:13" ht="15.75" thickBot="1" x14ac:dyDescent="0.3">
      <c r="A100" s="1" t="s">
        <v>27</v>
      </c>
    </row>
    <row r="101" spans="1:13" ht="15.75" thickBot="1" x14ac:dyDescent="0.3">
      <c r="A101" s="2" t="s">
        <v>1</v>
      </c>
      <c r="B101" s="3" t="s">
        <v>2</v>
      </c>
      <c r="C101" s="3" t="s">
        <v>3</v>
      </c>
      <c r="D101" s="3" t="s">
        <v>4</v>
      </c>
      <c r="E101" s="3" t="s">
        <v>5</v>
      </c>
      <c r="F101" s="3" t="s">
        <v>6</v>
      </c>
      <c r="G101" s="3" t="s">
        <v>7</v>
      </c>
      <c r="H101" s="3" t="s">
        <v>8</v>
      </c>
      <c r="I101" s="3" t="s">
        <v>9</v>
      </c>
      <c r="J101" s="3" t="s">
        <v>10</v>
      </c>
      <c r="K101" s="3" t="s">
        <v>11</v>
      </c>
      <c r="L101" s="3" t="s">
        <v>12</v>
      </c>
      <c r="M101" s="4" t="s">
        <v>13</v>
      </c>
    </row>
    <row r="102" spans="1:13" x14ac:dyDescent="0.25">
      <c r="A102" s="5" t="s">
        <v>14</v>
      </c>
      <c r="B102" s="6">
        <f t="shared" ref="B102:D102" si="97">C102-2</f>
        <v>34</v>
      </c>
      <c r="C102" s="6">
        <f t="shared" si="97"/>
        <v>36</v>
      </c>
      <c r="D102" s="6">
        <f t="shared" si="97"/>
        <v>38</v>
      </c>
      <c r="E102" s="6">
        <f>F102-2</f>
        <v>40</v>
      </c>
      <c r="F102" s="6">
        <f t="shared" ref="F102:G102" si="98">G102-2</f>
        <v>42</v>
      </c>
      <c r="G102" s="6">
        <f t="shared" si="98"/>
        <v>44</v>
      </c>
      <c r="H102" s="6">
        <f>I102-2</f>
        <v>46</v>
      </c>
      <c r="I102" s="6">
        <v>48</v>
      </c>
      <c r="J102" s="6">
        <f t="shared" ref="J102:M102" si="99">I102+2</f>
        <v>50</v>
      </c>
      <c r="K102" s="6">
        <f t="shared" si="99"/>
        <v>52</v>
      </c>
      <c r="L102" s="6">
        <f t="shared" si="99"/>
        <v>54</v>
      </c>
      <c r="M102" s="6">
        <f t="shared" si="99"/>
        <v>56</v>
      </c>
    </row>
    <row r="103" spans="1:13" x14ac:dyDescent="0.25">
      <c r="A103" s="7" t="s">
        <v>15</v>
      </c>
      <c r="B103" s="6">
        <v>27</v>
      </c>
      <c r="C103" s="6">
        <f>B103+1</f>
        <v>28</v>
      </c>
      <c r="D103" s="6">
        <f t="shared" ref="D103:E103" si="100">C103+1</f>
        <v>29</v>
      </c>
      <c r="E103" s="6">
        <f t="shared" si="100"/>
        <v>30</v>
      </c>
      <c r="F103" s="6">
        <f>E103+1</f>
        <v>31</v>
      </c>
      <c r="G103" s="6">
        <f t="shared" ref="G103:M103" si="101">F103+3</f>
        <v>34</v>
      </c>
      <c r="H103" s="6">
        <f t="shared" si="101"/>
        <v>37</v>
      </c>
      <c r="I103" s="6">
        <f t="shared" si="101"/>
        <v>40</v>
      </c>
      <c r="J103" s="6">
        <f t="shared" si="101"/>
        <v>43</v>
      </c>
      <c r="K103" s="6">
        <f t="shared" si="101"/>
        <v>46</v>
      </c>
      <c r="L103" s="6">
        <f t="shared" si="101"/>
        <v>49</v>
      </c>
      <c r="M103" s="6">
        <f t="shared" si="101"/>
        <v>52</v>
      </c>
    </row>
    <row r="104" spans="1:13" x14ac:dyDescent="0.25">
      <c r="A104" s="7" t="s">
        <v>16</v>
      </c>
      <c r="B104" s="6">
        <f>B103-6</f>
        <v>21</v>
      </c>
      <c r="C104" s="6">
        <f t="shared" ref="C104:M104" si="102">C103-6</f>
        <v>22</v>
      </c>
      <c r="D104" s="6">
        <f t="shared" si="102"/>
        <v>23</v>
      </c>
      <c r="E104" s="6">
        <f t="shared" si="102"/>
        <v>24</v>
      </c>
      <c r="F104" s="6">
        <f t="shared" si="102"/>
        <v>25</v>
      </c>
      <c r="G104" s="6">
        <f t="shared" si="102"/>
        <v>28</v>
      </c>
      <c r="H104" s="6">
        <f t="shared" si="102"/>
        <v>31</v>
      </c>
      <c r="I104" s="6">
        <f t="shared" si="102"/>
        <v>34</v>
      </c>
      <c r="J104" s="6">
        <f t="shared" si="102"/>
        <v>37</v>
      </c>
      <c r="K104" s="6">
        <f t="shared" si="102"/>
        <v>40</v>
      </c>
      <c r="L104" s="6">
        <f t="shared" si="102"/>
        <v>43</v>
      </c>
      <c r="M104" s="6">
        <f t="shared" si="102"/>
        <v>46</v>
      </c>
    </row>
    <row r="105" spans="1:13" x14ac:dyDescent="0.25">
      <c r="A105" s="7" t="s">
        <v>17</v>
      </c>
      <c r="B105" s="6">
        <v>26</v>
      </c>
      <c r="C105" s="6">
        <f>B105+2</f>
        <v>28</v>
      </c>
      <c r="D105" s="6">
        <f t="shared" ref="D105:E105" si="103">C105+2</f>
        <v>30</v>
      </c>
      <c r="E105" s="6">
        <f t="shared" si="103"/>
        <v>32</v>
      </c>
      <c r="F105" s="6">
        <f t="shared" ref="F105:G105" si="104">G105-2</f>
        <v>36</v>
      </c>
      <c r="G105" s="6">
        <f t="shared" si="104"/>
        <v>38</v>
      </c>
      <c r="H105" s="6">
        <f>I105-2</f>
        <v>40</v>
      </c>
      <c r="I105" s="6">
        <v>42</v>
      </c>
      <c r="J105" s="6">
        <f>I105+4</f>
        <v>46</v>
      </c>
      <c r="K105" s="6">
        <f t="shared" ref="K105:M105" si="105">J105+4</f>
        <v>50</v>
      </c>
      <c r="L105" s="6">
        <f t="shared" si="105"/>
        <v>54</v>
      </c>
      <c r="M105" s="6">
        <f t="shared" si="105"/>
        <v>58</v>
      </c>
    </row>
    <row r="108" spans="1:13" ht="15.75" thickBot="1" x14ac:dyDescent="0.3">
      <c r="A108" s="1" t="s">
        <v>34</v>
      </c>
    </row>
    <row r="109" spans="1:13" ht="15.75" thickBot="1" x14ac:dyDescent="0.3">
      <c r="A109" s="2" t="s">
        <v>1</v>
      </c>
      <c r="B109" s="3" t="s">
        <v>2</v>
      </c>
      <c r="C109" s="3" t="s">
        <v>3</v>
      </c>
      <c r="D109" s="3" t="s">
        <v>4</v>
      </c>
      <c r="E109" s="3" t="s">
        <v>5</v>
      </c>
      <c r="F109" s="3" t="s">
        <v>6</v>
      </c>
      <c r="G109" s="3" t="s">
        <v>7</v>
      </c>
      <c r="H109" s="3" t="s">
        <v>8</v>
      </c>
      <c r="I109" s="3" t="s">
        <v>9</v>
      </c>
      <c r="J109" s="3" t="s">
        <v>10</v>
      </c>
      <c r="K109" s="3" t="s">
        <v>11</v>
      </c>
      <c r="L109" s="3" t="s">
        <v>12</v>
      </c>
      <c r="M109" s="4" t="s">
        <v>13</v>
      </c>
    </row>
    <row r="110" spans="1:13" x14ac:dyDescent="0.25">
      <c r="A110" s="5" t="s">
        <v>14</v>
      </c>
      <c r="B110" s="6">
        <f t="shared" ref="B110:G111" si="106">C110-2</f>
        <v>31</v>
      </c>
      <c r="C110" s="6">
        <f t="shared" si="106"/>
        <v>33</v>
      </c>
      <c r="D110" s="6">
        <f t="shared" si="106"/>
        <v>35</v>
      </c>
      <c r="E110" s="6">
        <f>F110-2</f>
        <v>37</v>
      </c>
      <c r="F110" s="6">
        <f t="shared" ref="F110:G110" si="107">G110-2</f>
        <v>39</v>
      </c>
      <c r="G110" s="6">
        <f t="shared" si="107"/>
        <v>41</v>
      </c>
      <c r="H110" s="6">
        <f>I110-2</f>
        <v>43</v>
      </c>
      <c r="I110" s="6">
        <v>45</v>
      </c>
      <c r="J110" s="6">
        <f t="shared" ref="J110:M110" si="108">I110+2</f>
        <v>47</v>
      </c>
      <c r="K110" s="6">
        <f t="shared" si="108"/>
        <v>49</v>
      </c>
      <c r="L110" s="6">
        <f t="shared" si="108"/>
        <v>51</v>
      </c>
      <c r="M110" s="6">
        <f t="shared" si="108"/>
        <v>53</v>
      </c>
    </row>
    <row r="111" spans="1:13" x14ac:dyDescent="0.25">
      <c r="A111" s="7" t="s">
        <v>15</v>
      </c>
      <c r="B111" s="6">
        <f t="shared" si="106"/>
        <v>28</v>
      </c>
      <c r="C111" s="6">
        <f t="shared" si="106"/>
        <v>30</v>
      </c>
      <c r="D111" s="6">
        <f t="shared" si="106"/>
        <v>32</v>
      </c>
      <c r="E111" s="6">
        <f t="shared" si="106"/>
        <v>34</v>
      </c>
      <c r="F111" s="6">
        <f t="shared" si="106"/>
        <v>36</v>
      </c>
      <c r="G111" s="6">
        <f t="shared" si="106"/>
        <v>38</v>
      </c>
      <c r="H111" s="6">
        <f>I111-2</f>
        <v>40</v>
      </c>
      <c r="I111" s="6">
        <v>42</v>
      </c>
      <c r="J111" s="6">
        <f t="shared" ref="J111:M111" si="109">I111+3</f>
        <v>45</v>
      </c>
      <c r="K111" s="6">
        <f t="shared" si="109"/>
        <v>48</v>
      </c>
      <c r="L111" s="6">
        <f t="shared" si="109"/>
        <v>51</v>
      </c>
      <c r="M111" s="6">
        <f t="shared" si="109"/>
        <v>54</v>
      </c>
    </row>
    <row r="112" spans="1:13" x14ac:dyDescent="0.25">
      <c r="A112" s="7" t="s">
        <v>16</v>
      </c>
      <c r="B112" s="6">
        <f>B111-6</f>
        <v>22</v>
      </c>
      <c r="C112" s="6">
        <f t="shared" ref="C112:M112" si="110">C111-6</f>
        <v>24</v>
      </c>
      <c r="D112" s="6">
        <f t="shared" si="110"/>
        <v>26</v>
      </c>
      <c r="E112" s="6">
        <f t="shared" si="110"/>
        <v>28</v>
      </c>
      <c r="F112" s="6">
        <f t="shared" si="110"/>
        <v>30</v>
      </c>
      <c r="G112" s="6">
        <f t="shared" si="110"/>
        <v>32</v>
      </c>
      <c r="H112" s="6">
        <f t="shared" si="110"/>
        <v>34</v>
      </c>
      <c r="I112" s="6">
        <f t="shared" si="110"/>
        <v>36</v>
      </c>
      <c r="J112" s="6">
        <f t="shared" si="110"/>
        <v>39</v>
      </c>
      <c r="K112" s="6">
        <f t="shared" si="110"/>
        <v>42</v>
      </c>
      <c r="L112" s="6">
        <f t="shared" si="110"/>
        <v>45</v>
      </c>
      <c r="M112" s="6">
        <f t="shared" si="110"/>
        <v>48</v>
      </c>
    </row>
    <row r="113" spans="1:14" x14ac:dyDescent="0.25">
      <c r="A113" s="7" t="s">
        <v>17</v>
      </c>
      <c r="B113" s="6">
        <v>26</v>
      </c>
      <c r="C113" s="6">
        <f>B113+2</f>
        <v>28</v>
      </c>
      <c r="D113" s="6">
        <f t="shared" ref="D113:E113" si="111">C113+2</f>
        <v>30</v>
      </c>
      <c r="E113" s="6">
        <f t="shared" si="111"/>
        <v>32</v>
      </c>
      <c r="F113" s="6">
        <f t="shared" ref="F113:G113" si="112">G113-2</f>
        <v>36</v>
      </c>
      <c r="G113" s="6">
        <f t="shared" si="112"/>
        <v>38</v>
      </c>
      <c r="H113" s="6">
        <f>I113-2</f>
        <v>40</v>
      </c>
      <c r="I113" s="6">
        <v>42</v>
      </c>
      <c r="J113" s="6">
        <f>I113+4</f>
        <v>46</v>
      </c>
      <c r="K113" s="6">
        <f t="shared" ref="K113:M113" si="113">J113+4</f>
        <v>50</v>
      </c>
      <c r="L113" s="6">
        <f t="shared" si="113"/>
        <v>54</v>
      </c>
      <c r="M113" s="6">
        <f t="shared" si="113"/>
        <v>58</v>
      </c>
    </row>
    <row r="115" spans="1:14" ht="15.75" thickBot="1" x14ac:dyDescent="0.3">
      <c r="A115" s="1" t="s">
        <v>35</v>
      </c>
    </row>
    <row r="116" spans="1:14" ht="15.75" thickBot="1" x14ac:dyDescent="0.3">
      <c r="A116" s="2" t="s">
        <v>1</v>
      </c>
      <c r="B116" s="3" t="s">
        <v>2</v>
      </c>
      <c r="C116" s="3" t="s">
        <v>3</v>
      </c>
      <c r="D116" s="3" t="s">
        <v>4</v>
      </c>
      <c r="E116" s="3" t="s">
        <v>5</v>
      </c>
      <c r="F116" s="3" t="s">
        <v>6</v>
      </c>
      <c r="G116" s="3" t="s">
        <v>7</v>
      </c>
      <c r="H116" s="3" t="s">
        <v>8</v>
      </c>
      <c r="I116" s="3" t="s">
        <v>9</v>
      </c>
      <c r="J116" s="3" t="s">
        <v>10</v>
      </c>
      <c r="K116" s="3" t="s">
        <v>11</v>
      </c>
      <c r="L116" s="3" t="s">
        <v>12</v>
      </c>
      <c r="M116" s="4" t="s">
        <v>13</v>
      </c>
    </row>
    <row r="117" spans="1:14" x14ac:dyDescent="0.25">
      <c r="A117" s="5" t="s">
        <v>36</v>
      </c>
      <c r="B117" s="6">
        <f t="shared" ref="B117:G118" si="114">C117-2</f>
        <v>31</v>
      </c>
      <c r="C117" s="6">
        <f t="shared" si="114"/>
        <v>33</v>
      </c>
      <c r="D117" s="6">
        <f t="shared" si="114"/>
        <v>35</v>
      </c>
      <c r="E117" s="6">
        <f>F117-2</f>
        <v>37</v>
      </c>
      <c r="F117" s="6">
        <f t="shared" ref="F117:G117" si="115">G117-2</f>
        <v>39</v>
      </c>
      <c r="G117" s="6">
        <f t="shared" si="115"/>
        <v>41</v>
      </c>
      <c r="H117" s="6">
        <f>I117-2</f>
        <v>43</v>
      </c>
      <c r="I117" s="6">
        <v>45</v>
      </c>
      <c r="J117" s="6">
        <f t="shared" ref="J117:M117" si="116">I117+2</f>
        <v>47</v>
      </c>
      <c r="K117" s="6">
        <f t="shared" si="116"/>
        <v>49</v>
      </c>
      <c r="L117" s="6">
        <f t="shared" si="116"/>
        <v>51</v>
      </c>
      <c r="M117" s="6">
        <f t="shared" si="116"/>
        <v>53</v>
      </c>
    </row>
    <row r="118" spans="1:14" x14ac:dyDescent="0.25">
      <c r="A118" s="7" t="s">
        <v>37</v>
      </c>
      <c r="B118" s="6">
        <f t="shared" si="114"/>
        <v>28</v>
      </c>
      <c r="C118" s="6">
        <f t="shared" si="114"/>
        <v>30</v>
      </c>
      <c r="D118" s="6">
        <f t="shared" si="114"/>
        <v>32</v>
      </c>
      <c r="E118" s="6">
        <f t="shared" si="114"/>
        <v>34</v>
      </c>
      <c r="F118" s="6">
        <f t="shared" si="114"/>
        <v>36</v>
      </c>
      <c r="G118" s="6">
        <f t="shared" si="114"/>
        <v>38</v>
      </c>
      <c r="H118" s="6">
        <f>I118-2</f>
        <v>40</v>
      </c>
      <c r="I118" s="6">
        <v>42</v>
      </c>
      <c r="J118" s="6">
        <f t="shared" ref="J118:M118" si="117">I118+3</f>
        <v>45</v>
      </c>
      <c r="K118" s="6">
        <f t="shared" si="117"/>
        <v>48</v>
      </c>
      <c r="L118" s="6">
        <f t="shared" si="117"/>
        <v>51</v>
      </c>
      <c r="M118" s="6">
        <f t="shared" si="117"/>
        <v>54</v>
      </c>
    </row>
    <row r="119" spans="1:14" x14ac:dyDescent="0.25">
      <c r="A119" s="7" t="s">
        <v>38</v>
      </c>
      <c r="B119" s="6">
        <f t="shared" ref="B119:G119" si="118">C119-1</f>
        <v>20</v>
      </c>
      <c r="C119" s="6">
        <f t="shared" si="118"/>
        <v>21</v>
      </c>
      <c r="D119" s="6">
        <f t="shared" si="118"/>
        <v>22</v>
      </c>
      <c r="E119" s="6">
        <f t="shared" si="118"/>
        <v>23</v>
      </c>
      <c r="F119" s="6">
        <f t="shared" si="118"/>
        <v>24</v>
      </c>
      <c r="G119" s="6">
        <f t="shared" si="118"/>
        <v>25</v>
      </c>
      <c r="H119" s="6">
        <f>I119-1</f>
        <v>26</v>
      </c>
      <c r="I119" s="6">
        <v>27</v>
      </c>
      <c r="J119" s="6">
        <v>29</v>
      </c>
      <c r="K119" s="6">
        <v>31</v>
      </c>
      <c r="L119" s="6">
        <v>33</v>
      </c>
      <c r="M119" s="6">
        <v>35</v>
      </c>
    </row>
    <row r="120" spans="1:14" x14ac:dyDescent="0.25">
      <c r="A120" s="7" t="s">
        <v>39</v>
      </c>
      <c r="B120" s="6">
        <f t="shared" ref="B120:E120" si="119">C120-5</f>
        <v>36</v>
      </c>
      <c r="C120" s="6">
        <f t="shared" si="119"/>
        <v>41</v>
      </c>
      <c r="D120" s="6">
        <f t="shared" si="119"/>
        <v>46</v>
      </c>
      <c r="E120" s="6">
        <f t="shared" si="119"/>
        <v>51</v>
      </c>
      <c r="F120" s="6">
        <f>G120-5</f>
        <v>56</v>
      </c>
      <c r="G120" s="6">
        <v>61</v>
      </c>
      <c r="H120" s="6">
        <v>65</v>
      </c>
      <c r="I120" s="6">
        <v>69</v>
      </c>
      <c r="J120" s="6">
        <v>73</v>
      </c>
      <c r="K120" s="6">
        <v>77</v>
      </c>
      <c r="L120" s="6">
        <v>85</v>
      </c>
      <c r="M120" s="6">
        <v>93</v>
      </c>
    </row>
    <row r="123" spans="1:14" x14ac:dyDescent="0.25">
      <c r="A123" s="1" t="s">
        <v>40</v>
      </c>
    </row>
    <row r="124" spans="1:14" x14ac:dyDescent="0.25">
      <c r="A124" s="6" t="s">
        <v>1</v>
      </c>
      <c r="B124" s="6" t="s">
        <v>41</v>
      </c>
      <c r="C124" s="6" t="s">
        <v>2</v>
      </c>
      <c r="D124" s="6" t="s">
        <v>3</v>
      </c>
      <c r="E124" s="6" t="s">
        <v>4</v>
      </c>
      <c r="F124" s="6" t="s">
        <v>5</v>
      </c>
      <c r="G124" s="6" t="s">
        <v>6</v>
      </c>
      <c r="H124" s="6" t="s">
        <v>7</v>
      </c>
      <c r="I124" s="6" t="s">
        <v>8</v>
      </c>
      <c r="J124" s="6" t="s">
        <v>9</v>
      </c>
      <c r="K124" s="6" t="s">
        <v>10</v>
      </c>
      <c r="L124" s="6" t="s">
        <v>11</v>
      </c>
      <c r="M124" s="6" t="s">
        <v>12</v>
      </c>
      <c r="N124" s="6" t="s">
        <v>13</v>
      </c>
    </row>
    <row r="125" spans="1:14" x14ac:dyDescent="0.25">
      <c r="A125" s="6" t="s">
        <v>42</v>
      </c>
      <c r="B125" s="6">
        <v>24</v>
      </c>
      <c r="C125" s="6">
        <v>26</v>
      </c>
      <c r="D125" s="6">
        <v>28</v>
      </c>
      <c r="E125" s="6">
        <v>28</v>
      </c>
      <c r="F125" s="6">
        <v>30</v>
      </c>
      <c r="G125" s="6">
        <v>36</v>
      </c>
      <c r="H125" s="6">
        <v>38</v>
      </c>
      <c r="I125" s="6">
        <v>40</v>
      </c>
      <c r="J125" s="6">
        <v>42</v>
      </c>
      <c r="K125" s="6">
        <v>44</v>
      </c>
      <c r="L125" s="6">
        <v>48</v>
      </c>
      <c r="M125" s="6">
        <v>52</v>
      </c>
      <c r="N125" s="6">
        <v>56</v>
      </c>
    </row>
    <row r="126" spans="1:14" x14ac:dyDescent="0.25">
      <c r="A126" s="6" t="s">
        <v>43</v>
      </c>
      <c r="B126" s="6">
        <v>15</v>
      </c>
      <c r="C126" s="6">
        <v>17</v>
      </c>
      <c r="D126" s="6">
        <v>19</v>
      </c>
      <c r="E126" s="6">
        <v>21</v>
      </c>
      <c r="F126" s="6">
        <v>23</v>
      </c>
      <c r="G126" s="6">
        <v>26</v>
      </c>
      <c r="H126" s="6">
        <v>28</v>
      </c>
      <c r="I126" s="6">
        <v>30</v>
      </c>
      <c r="J126" s="6">
        <v>32</v>
      </c>
      <c r="K126" s="6">
        <v>35</v>
      </c>
      <c r="L126" s="6">
        <v>38</v>
      </c>
      <c r="M126" s="6">
        <v>41</v>
      </c>
      <c r="N126" s="6">
        <v>44</v>
      </c>
    </row>
    <row r="127" spans="1:14" x14ac:dyDescent="0.25">
      <c r="A127" s="6" t="s">
        <v>44</v>
      </c>
      <c r="B127" s="6">
        <v>9</v>
      </c>
      <c r="C127" s="6">
        <v>9.5</v>
      </c>
      <c r="D127" s="6">
        <v>10</v>
      </c>
      <c r="E127" s="6">
        <v>10.5</v>
      </c>
      <c r="F127" s="6">
        <v>11</v>
      </c>
      <c r="G127" s="6">
        <v>12.5</v>
      </c>
      <c r="H127" s="6">
        <v>13</v>
      </c>
      <c r="I127" s="6">
        <v>13.5</v>
      </c>
      <c r="J127" s="6">
        <v>14</v>
      </c>
      <c r="K127" s="6">
        <v>14.5</v>
      </c>
      <c r="L127" s="6">
        <v>15</v>
      </c>
      <c r="M127" s="6">
        <v>15.5</v>
      </c>
      <c r="N127" s="6">
        <v>16</v>
      </c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Girls Apparel 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17</dc:creator>
  <cp:lastModifiedBy>IT 17</cp:lastModifiedBy>
  <dcterms:created xsi:type="dcterms:W3CDTF">2026-06-16T13:43:54Z</dcterms:created>
  <dcterms:modified xsi:type="dcterms:W3CDTF">2026-06-16T13:51:47Z</dcterms:modified>
</cp:coreProperties>
</file>